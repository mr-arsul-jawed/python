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GRAM\PYTHON\Data_Analytics\EXCEL\"/>
    </mc:Choice>
  </mc:AlternateContent>
  <xr:revisionPtr revIDLastSave="0" documentId="13_ncr:1_{497B1406-4673-4030-84AA-D832892638DC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Sheet1" sheetId="1" r:id="rId1"/>
    <sheet name="Sheet5" sheetId="13" r:id="rId2"/>
    <sheet name="Sheet2" sheetId="2" r:id="rId3"/>
    <sheet name="Sheet3" sheetId="3" r:id="rId4"/>
    <sheet name="customers" sheetId="5" r:id="rId5"/>
    <sheet name="employees" sheetId="7" r:id="rId6"/>
    <sheet name="Sheet4" sheetId="4" r:id="rId7"/>
    <sheet name="Sheet6" sheetId="8" r:id="rId8"/>
    <sheet name="Sheet7" sheetId="9" r:id="rId9"/>
    <sheet name="Sheet8" sheetId="10" r:id="rId10"/>
    <sheet name="Sheet9" sheetId="11" r:id="rId11"/>
    <sheet name="Employee Sample Data 1" sheetId="15" r:id="rId12"/>
    <sheet name="customers (2)" sheetId="16" r:id="rId13"/>
    <sheet name="Sheet10" sheetId="14" r:id="rId14"/>
  </sheets>
  <definedNames>
    <definedName name="ExternalData_1" localSheetId="4" hidden="1">'customers'!$A$1:$M$123</definedName>
    <definedName name="ExternalData_1" localSheetId="12" hidden="1">'customers (2)'!$A$1:$N$123</definedName>
    <definedName name="ExternalData_1" localSheetId="11" hidden="1">'Employee Sample Data 1'!$A$1:$N$1263</definedName>
    <definedName name="ExternalData_1" localSheetId="5" hidden="1">employees!$A$1:$H$24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3" l="1"/>
  <c r="J2" i="13"/>
  <c r="I2" i="13"/>
  <c r="H2" i="13"/>
  <c r="G2" i="13"/>
  <c r="F2" i="13"/>
  <c r="B5" i="11"/>
  <c r="C5" i="11" s="1"/>
  <c r="A5" i="11"/>
  <c r="J5" i="11" s="1"/>
  <c r="Q40" i="10"/>
  <c r="P40" i="10"/>
  <c r="O40" i="10"/>
  <c r="N40" i="10"/>
  <c r="Q39" i="10"/>
  <c r="P39" i="10"/>
  <c r="O39" i="10"/>
  <c r="N39" i="10"/>
  <c r="Q38" i="10"/>
  <c r="P38" i="10"/>
  <c r="O38" i="10"/>
  <c r="N38" i="10"/>
  <c r="Q37" i="10"/>
  <c r="P37" i="10"/>
  <c r="O37" i="10"/>
  <c r="N37" i="10"/>
  <c r="Q36" i="10"/>
  <c r="P36" i="10"/>
  <c r="O36" i="10"/>
  <c r="N36" i="10"/>
  <c r="Q35" i="10"/>
  <c r="P35" i="10"/>
  <c r="O35" i="10"/>
  <c r="N35" i="10"/>
  <c r="Q34" i="10"/>
  <c r="P34" i="10"/>
  <c r="O34" i="10"/>
  <c r="N34" i="10"/>
  <c r="Q33" i="10"/>
  <c r="P33" i="10"/>
  <c r="O33" i="10"/>
  <c r="N33" i="10"/>
  <c r="Q32" i="10"/>
  <c r="P32" i="10"/>
  <c r="O32" i="10"/>
  <c r="N32" i="10"/>
  <c r="Q31" i="10"/>
  <c r="P31" i="10"/>
  <c r="O31" i="10"/>
  <c r="N31" i="10"/>
  <c r="Q30" i="10"/>
  <c r="P30" i="10"/>
  <c r="O30" i="10"/>
  <c r="N30" i="10"/>
  <c r="Q29" i="10"/>
  <c r="P29" i="10"/>
  <c r="O29" i="10"/>
  <c r="N29" i="10"/>
  <c r="Q28" i="10"/>
  <c r="P28" i="10"/>
  <c r="O28" i="10"/>
  <c r="N28" i="10"/>
  <c r="Q27" i="10"/>
  <c r="P27" i="10"/>
  <c r="O27" i="10"/>
  <c r="N27" i="10"/>
  <c r="Q26" i="10"/>
  <c r="P26" i="10"/>
  <c r="O26" i="10"/>
  <c r="N26" i="10"/>
  <c r="Q25" i="10"/>
  <c r="P25" i="10"/>
  <c r="O25" i="10"/>
  <c r="N25" i="10"/>
  <c r="Q24" i="10"/>
  <c r="P24" i="10"/>
  <c r="O24" i="10"/>
  <c r="N24" i="10"/>
  <c r="Q23" i="10"/>
  <c r="P23" i="10"/>
  <c r="O23" i="10"/>
  <c r="N23" i="10"/>
  <c r="Q22" i="10"/>
  <c r="P22" i="10"/>
  <c r="O22" i="10"/>
  <c r="N22" i="10"/>
  <c r="Q21" i="10"/>
  <c r="P21" i="10"/>
  <c r="O21" i="10"/>
  <c r="N21" i="10"/>
  <c r="Q20" i="10"/>
  <c r="P20" i="10"/>
  <c r="O20" i="10"/>
  <c r="N20" i="10"/>
  <c r="Q19" i="10"/>
  <c r="P19" i="10"/>
  <c r="O19" i="10"/>
  <c r="N19" i="10"/>
  <c r="Q18" i="10"/>
  <c r="P18" i="10"/>
  <c r="O18" i="10"/>
  <c r="N18" i="10"/>
  <c r="Q17" i="10"/>
  <c r="P17" i="10"/>
  <c r="O17" i="10"/>
  <c r="N17" i="10"/>
  <c r="Q16" i="10"/>
  <c r="P16" i="10"/>
  <c r="O16" i="10"/>
  <c r="N16" i="10"/>
  <c r="Q15" i="10"/>
  <c r="P15" i="10"/>
  <c r="O15" i="10"/>
  <c r="N15" i="10"/>
  <c r="Q14" i="10"/>
  <c r="P14" i="10"/>
  <c r="O14" i="10"/>
  <c r="N14" i="10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Q9" i="10"/>
  <c r="P9" i="10"/>
  <c r="O9" i="10"/>
  <c r="N9" i="10"/>
  <c r="Q8" i="10"/>
  <c r="P8" i="10"/>
  <c r="O8" i="10"/>
  <c r="N8" i="10"/>
  <c r="Q7" i="10"/>
  <c r="P7" i="10"/>
  <c r="O7" i="10"/>
  <c r="N7" i="10"/>
  <c r="Q6" i="10"/>
  <c r="P6" i="10"/>
  <c r="O6" i="10"/>
  <c r="N6" i="10"/>
  <c r="Q5" i="10"/>
  <c r="P5" i="10"/>
  <c r="O5" i="10"/>
  <c r="N5" i="10"/>
  <c r="Q4" i="10"/>
  <c r="P4" i="10"/>
  <c r="O4" i="10"/>
  <c r="N4" i="10"/>
  <c r="O24" i="9"/>
  <c r="N24" i="9"/>
  <c r="M24" i="9"/>
  <c r="L24" i="9"/>
  <c r="K24" i="9"/>
  <c r="J24" i="9"/>
  <c r="I24" i="9"/>
  <c r="H24" i="9"/>
  <c r="G24" i="9"/>
  <c r="F24" i="9"/>
  <c r="E24" i="9"/>
  <c r="D24" i="9"/>
  <c r="O23" i="9"/>
  <c r="N23" i="9"/>
  <c r="M23" i="9"/>
  <c r="L23" i="9"/>
  <c r="K23" i="9"/>
  <c r="J23" i="9"/>
  <c r="I23" i="9"/>
  <c r="H23" i="9"/>
  <c r="G23" i="9"/>
  <c r="F23" i="9"/>
  <c r="E23" i="9"/>
  <c r="D23" i="9"/>
  <c r="O22" i="9"/>
  <c r="N22" i="9"/>
  <c r="M22" i="9"/>
  <c r="L22" i="9"/>
  <c r="K22" i="9"/>
  <c r="J22" i="9"/>
  <c r="I22" i="9"/>
  <c r="H22" i="9"/>
  <c r="G22" i="9"/>
  <c r="F22" i="9"/>
  <c r="E22" i="9"/>
  <c r="D22" i="9"/>
  <c r="O21" i="9"/>
  <c r="N21" i="9"/>
  <c r="M21" i="9"/>
  <c r="L21" i="9"/>
  <c r="K21" i="9"/>
  <c r="J21" i="9"/>
  <c r="I21" i="9"/>
  <c r="H21" i="9"/>
  <c r="G21" i="9"/>
  <c r="F21" i="9"/>
  <c r="E21" i="9"/>
  <c r="D21" i="9"/>
  <c r="O20" i="9"/>
  <c r="N20" i="9"/>
  <c r="M20" i="9"/>
  <c r="L20" i="9"/>
  <c r="K20" i="9"/>
  <c r="J20" i="9"/>
  <c r="I20" i="9"/>
  <c r="H20" i="9"/>
  <c r="G20" i="9"/>
  <c r="F20" i="9"/>
  <c r="E20" i="9"/>
  <c r="D20" i="9"/>
  <c r="O19" i="9"/>
  <c r="N19" i="9"/>
  <c r="M19" i="9"/>
  <c r="L19" i="9"/>
  <c r="K19" i="9"/>
  <c r="J19" i="9"/>
  <c r="I19" i="9"/>
  <c r="H19" i="9"/>
  <c r="G19" i="9"/>
  <c r="F19" i="9"/>
  <c r="E19" i="9"/>
  <c r="D19" i="9"/>
  <c r="O18" i="9"/>
  <c r="N18" i="9"/>
  <c r="M18" i="9"/>
  <c r="L18" i="9"/>
  <c r="K18" i="9"/>
  <c r="J18" i="9"/>
  <c r="I18" i="9"/>
  <c r="H18" i="9"/>
  <c r="G18" i="9"/>
  <c r="F18" i="9"/>
  <c r="E18" i="9"/>
  <c r="D18" i="9"/>
  <c r="O17" i="9"/>
  <c r="N17" i="9"/>
  <c r="M17" i="9"/>
  <c r="L17" i="9"/>
  <c r="K17" i="9"/>
  <c r="J17" i="9"/>
  <c r="I17" i="9"/>
  <c r="H17" i="9"/>
  <c r="G17" i="9"/>
  <c r="F17" i="9"/>
  <c r="E17" i="9"/>
  <c r="D17" i="9"/>
  <c r="O16" i="9"/>
  <c r="N16" i="9"/>
  <c r="M16" i="9"/>
  <c r="L16" i="9"/>
  <c r="K16" i="9"/>
  <c r="J16" i="9"/>
  <c r="I16" i="9"/>
  <c r="H16" i="9"/>
  <c r="G16" i="9"/>
  <c r="F16" i="9"/>
  <c r="E16" i="9"/>
  <c r="D16" i="9"/>
  <c r="O15" i="9"/>
  <c r="N15" i="9"/>
  <c r="M15" i="9"/>
  <c r="L15" i="9"/>
  <c r="K15" i="9"/>
  <c r="J15" i="9"/>
  <c r="I15" i="9"/>
  <c r="H15" i="9"/>
  <c r="G15" i="9"/>
  <c r="F15" i="9"/>
  <c r="E15" i="9"/>
  <c r="D15" i="9"/>
  <c r="O14" i="9"/>
  <c r="N14" i="9"/>
  <c r="M14" i="9"/>
  <c r="L14" i="9"/>
  <c r="K14" i="9"/>
  <c r="J14" i="9"/>
  <c r="I14" i="9"/>
  <c r="H14" i="9"/>
  <c r="G14" i="9"/>
  <c r="F14" i="9"/>
  <c r="E14" i="9"/>
  <c r="D14" i="9"/>
  <c r="O13" i="9"/>
  <c r="N13" i="9"/>
  <c r="M13" i="9"/>
  <c r="L13" i="9"/>
  <c r="K13" i="9"/>
  <c r="J13" i="9"/>
  <c r="I13" i="9"/>
  <c r="H13" i="9"/>
  <c r="G13" i="9"/>
  <c r="F13" i="9"/>
  <c r="E13" i="9"/>
  <c r="D13" i="9"/>
  <c r="O12" i="9"/>
  <c r="N12" i="9"/>
  <c r="M12" i="9"/>
  <c r="L12" i="9"/>
  <c r="K12" i="9"/>
  <c r="J12" i="9"/>
  <c r="I12" i="9"/>
  <c r="H12" i="9"/>
  <c r="G12" i="9"/>
  <c r="F12" i="9"/>
  <c r="E12" i="9"/>
  <c r="D12" i="9"/>
  <c r="O11" i="9"/>
  <c r="N11" i="9"/>
  <c r="M11" i="9"/>
  <c r="L11" i="9"/>
  <c r="K11" i="9"/>
  <c r="J11" i="9"/>
  <c r="I11" i="9"/>
  <c r="H11" i="9"/>
  <c r="G11" i="9"/>
  <c r="F11" i="9"/>
  <c r="E11" i="9"/>
  <c r="D11" i="9"/>
  <c r="O10" i="9"/>
  <c r="N10" i="9"/>
  <c r="M10" i="9"/>
  <c r="L10" i="9"/>
  <c r="K10" i="9"/>
  <c r="J10" i="9"/>
  <c r="I10" i="9"/>
  <c r="H10" i="9"/>
  <c r="G10" i="9"/>
  <c r="F10" i="9"/>
  <c r="E10" i="9"/>
  <c r="D10" i="9"/>
  <c r="O9" i="9"/>
  <c r="N9" i="9"/>
  <c r="M9" i="9"/>
  <c r="L9" i="9"/>
  <c r="K9" i="9"/>
  <c r="J9" i="9"/>
  <c r="I9" i="9"/>
  <c r="H9" i="9"/>
  <c r="G9" i="9"/>
  <c r="F9" i="9"/>
  <c r="E9" i="9"/>
  <c r="D9" i="9"/>
  <c r="O8" i="9"/>
  <c r="N8" i="9"/>
  <c r="M8" i="9"/>
  <c r="L8" i="9"/>
  <c r="K8" i="9"/>
  <c r="J8" i="9"/>
  <c r="I8" i="9"/>
  <c r="H8" i="9"/>
  <c r="G8" i="9"/>
  <c r="F8" i="9"/>
  <c r="E8" i="9"/>
  <c r="D8" i="9"/>
  <c r="O7" i="9"/>
  <c r="N7" i="9"/>
  <c r="M7" i="9"/>
  <c r="L7" i="9"/>
  <c r="K7" i="9"/>
  <c r="J7" i="9"/>
  <c r="I7" i="9"/>
  <c r="H7" i="9"/>
  <c r="G7" i="9"/>
  <c r="F7" i="9"/>
  <c r="E7" i="9"/>
  <c r="D7" i="9"/>
  <c r="O6" i="9"/>
  <c r="N6" i="9"/>
  <c r="M6" i="9"/>
  <c r="L6" i="9"/>
  <c r="K6" i="9"/>
  <c r="J6" i="9"/>
  <c r="I6" i="9"/>
  <c r="H6" i="9"/>
  <c r="G6" i="9"/>
  <c r="F6" i="9"/>
  <c r="E6" i="9"/>
  <c r="D6" i="9"/>
  <c r="O5" i="9"/>
  <c r="N5" i="9"/>
  <c r="M5" i="9"/>
  <c r="L5" i="9"/>
  <c r="K5" i="9"/>
  <c r="J5" i="9"/>
  <c r="I5" i="9"/>
  <c r="H5" i="9"/>
  <c r="G5" i="9"/>
  <c r="F5" i="9"/>
  <c r="E5" i="9"/>
  <c r="D5" i="9"/>
  <c r="O4" i="9"/>
  <c r="N4" i="9"/>
  <c r="M4" i="9"/>
  <c r="L4" i="9"/>
  <c r="K4" i="9"/>
  <c r="J4" i="9"/>
  <c r="I4" i="9"/>
  <c r="H4" i="9"/>
  <c r="G4" i="9"/>
  <c r="F4" i="9"/>
  <c r="E4" i="9"/>
  <c r="D4" i="9"/>
  <c r="I11" i="8" a="1"/>
  <c r="I11" i="8"/>
  <c r="E10" i="8" a="1"/>
  <c r="E10" i="8"/>
  <c r="S8" i="8"/>
  <c r="H13" i="4"/>
  <c r="A4" i="4"/>
  <c r="D33" i="7"/>
  <c r="K9" i="7" a="1"/>
  <c r="K9" i="7" s="1"/>
  <c r="K5" i="11" l="1"/>
  <c r="D5" i="11"/>
  <c r="E5" i="11"/>
  <c r="G5" i="11"/>
  <c r="H5" i="11"/>
  <c r="I5" i="11" s="1"/>
  <c r="F5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customers" description="Connection to the 'customers' query in the workbook." type="5" refreshedVersion="2" background="1" saveData="1">
    <dbPr connection="Provider=Microsoft.Mashup.OleDb.1;Data Source=$Workbook$;Location=customers;Extended Properties=&quot;&quot;" command="SELECT * FROM [customers]"/>
  </connection>
  <connection id="2" xr16:uid="{E7FF002B-C562-4C61-9351-5C9B55F31AE6}" keepAlive="1" name="Query - customers (2)" description="Connection to the 'customers (2)' query in the workbook." type="5" refreshedVersion="7" background="1" saveData="1">
    <dbPr connection="Provider=Microsoft.Mashup.OleDb.1;Data Source=$Workbook$;Location=&quot;customers (2)&quot;;Extended Properties=&quot;&quot;" command="SELECT * FROM [customers (2)]"/>
  </connection>
  <connection id="3" xr16:uid="{7F002D3F-5092-40EB-91FF-49646CAA8971}" keepAlive="1" name="Query - Employee Sample Data 1" description="Connection to the 'Employee Sample Data 1' query in the workbook." type="5" refreshedVersion="7" background="1" saveData="1">
    <dbPr connection="Provider=Microsoft.Mashup.OleDb.1;Data Source=$Workbook$;Location=&quot;Employee Sample Data 1&quot;;Extended Properties=&quot;&quot;" command="SELECT * FROM [Employee Sample Data 1]"/>
  </connection>
  <connection id="4" xr16:uid="{00000000-0015-0000-FFFF-FFFF01000000}" name="Query - employees" description="Connection to the 'employees' query in the workbook." type="5" refreshedVersion="2" background="1" saveData="1">
    <dbPr connection="Provider=Microsoft.Mashup.OleDb.1;Data Source=$Workbook$;Location=employees;Extended Properties=&quot;&quot;" command="SELECT * FROM [employe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<sst xmlns="http://schemas.openxmlformats.org/spreadsheetml/2006/main" count="15929" uniqueCount="3743">
  <si>
    <t>JANUARY MONTH EXPENSE</t>
  </si>
  <si>
    <t>BASIC TABLE</t>
  </si>
  <si>
    <t>DATA VALIDATION</t>
  </si>
  <si>
    <t>Date</t>
  </si>
  <si>
    <t>Category</t>
  </si>
  <si>
    <t>Sub-Category</t>
  </si>
  <si>
    <t>Price</t>
  </si>
  <si>
    <t>Payment Mode</t>
  </si>
  <si>
    <t>DATE</t>
  </si>
  <si>
    <t>Amount</t>
  </si>
  <si>
    <t>Bill</t>
  </si>
  <si>
    <t>Mobile</t>
  </si>
  <si>
    <t>UPI</t>
  </si>
  <si>
    <t>Zomato</t>
  </si>
  <si>
    <t>Upi</t>
  </si>
  <si>
    <t>Clothes</t>
  </si>
  <si>
    <t>Dress</t>
  </si>
  <si>
    <t>Cash</t>
  </si>
  <si>
    <t>Fruit &amp; Veggi</t>
  </si>
  <si>
    <t>Essentials</t>
  </si>
  <si>
    <t>Hair spary</t>
  </si>
  <si>
    <t>Shampoo</t>
  </si>
  <si>
    <t>Biryani</t>
  </si>
  <si>
    <t>Food</t>
  </si>
  <si>
    <t>Chai</t>
  </si>
  <si>
    <t>Restaurant</t>
  </si>
  <si>
    <t>Grocery</t>
  </si>
  <si>
    <t>Food oil</t>
  </si>
  <si>
    <t>Full Name</t>
  </si>
  <si>
    <t>City</t>
  </si>
  <si>
    <t>First Name</t>
  </si>
  <si>
    <t>Last</t>
  </si>
  <si>
    <t>Full</t>
  </si>
  <si>
    <t>Name</t>
  </si>
  <si>
    <t>Amit Sharma</t>
  </si>
  <si>
    <t>Delhi</t>
  </si>
  <si>
    <t>Amit</t>
  </si>
  <si>
    <t>Sharma</t>
  </si>
  <si>
    <t>Riya Verma</t>
  </si>
  <si>
    <t>Mumbai</t>
  </si>
  <si>
    <t>Riya</t>
  </si>
  <si>
    <t>Verma</t>
  </si>
  <si>
    <t>Rahul Singh</t>
  </si>
  <si>
    <t>Pune</t>
  </si>
  <si>
    <t>Rahul</t>
  </si>
  <si>
    <t>Sigh</t>
  </si>
  <si>
    <t>Singh</t>
  </si>
  <si>
    <t>Neha Gupta</t>
  </si>
  <si>
    <t>Jaipur</t>
  </si>
  <si>
    <t>Neha</t>
  </si>
  <si>
    <t>Gupta</t>
  </si>
  <si>
    <t>Arjun Mehta</t>
  </si>
  <si>
    <t>Ahmedabad</t>
  </si>
  <si>
    <t>Arjun</t>
  </si>
  <si>
    <t>Mehta</t>
  </si>
  <si>
    <t>Priya Nair</t>
  </si>
  <si>
    <t>Kochi</t>
  </si>
  <si>
    <t>Priya</t>
  </si>
  <si>
    <t>Nair</t>
  </si>
  <si>
    <t>Karan Malhotra</t>
  </si>
  <si>
    <t>Chandigarh</t>
  </si>
  <si>
    <t>Karan</t>
  </si>
  <si>
    <t>Malhotra</t>
  </si>
  <si>
    <t>Sneha Patil</t>
  </si>
  <si>
    <t>Nagpur</t>
  </si>
  <si>
    <t>Sneha</t>
  </si>
  <si>
    <t>Patil</t>
  </si>
  <si>
    <t>Vikram Rao</t>
  </si>
  <si>
    <t>Bengaluru</t>
  </si>
  <si>
    <t>Vikram</t>
  </si>
  <si>
    <t>Rao</t>
  </si>
  <si>
    <t>Anjali Das</t>
  </si>
  <si>
    <t>Kolkata</t>
  </si>
  <si>
    <t>Anjali</t>
  </si>
  <si>
    <t>Das</t>
  </si>
  <si>
    <t xml:space="preserve">Formula </t>
  </si>
  <si>
    <t>CTRL+ALT+I+R</t>
  </si>
  <si>
    <t>NEW ROW</t>
  </si>
  <si>
    <t>NULL VALUES REMOVE</t>
  </si>
  <si>
    <t>CTRL+T</t>
  </si>
  <si>
    <t>TABLE CREATE</t>
  </si>
  <si>
    <t>CTRL THEN -</t>
  </si>
  <si>
    <t>OPEN DELETE OPTION</t>
  </si>
  <si>
    <t>customerNumber</t>
  </si>
  <si>
    <t>customerName</t>
  </si>
  <si>
    <t>contactLastName</t>
  </si>
  <si>
    <t>contactFirstName</t>
  </si>
  <si>
    <t>phone</t>
  </si>
  <si>
    <t>addressLine1</t>
  </si>
  <si>
    <t>addressLine2</t>
  </si>
  <si>
    <t>city</t>
  </si>
  <si>
    <t>state</t>
  </si>
  <si>
    <t>postalCode</t>
  </si>
  <si>
    <t>country</t>
  </si>
  <si>
    <t>salesRepEmployeeNumber</t>
  </si>
  <si>
    <t>creditLimit</t>
  </si>
  <si>
    <t>Atelier graphique</t>
  </si>
  <si>
    <t>Schmitt</t>
  </si>
  <si>
    <t xml:space="preserve">Carine </t>
  </si>
  <si>
    <t>40.32.2555</t>
  </si>
  <si>
    <t>54, rue Royale</t>
  </si>
  <si>
    <t>Nantes</t>
  </si>
  <si>
    <t>44000</t>
  </si>
  <si>
    <t>France</t>
  </si>
  <si>
    <t>Signal Gift Stores</t>
  </si>
  <si>
    <t>King</t>
  </si>
  <si>
    <t>Jean</t>
  </si>
  <si>
    <t>7025551838</t>
  </si>
  <si>
    <t>8489 Strong St.</t>
  </si>
  <si>
    <t>Las Vegas</t>
  </si>
  <si>
    <t>NV</t>
  </si>
  <si>
    <t>83030</t>
  </si>
  <si>
    <t>USA</t>
  </si>
  <si>
    <t>Australian Collectors, Co.</t>
  </si>
  <si>
    <t>Ferguson</t>
  </si>
  <si>
    <t>Peter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</si>
  <si>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</si>
  <si>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</si>
  <si>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</si>
  <si>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</si>
  <si>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</si>
  <si>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</si>
  <si>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</si>
  <si>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La Rochelle Gifts</t>
  </si>
  <si>
    <t>Labrune</t>
  </si>
  <si>
    <t xml:space="preserve">Janine </t>
  </si>
  <si>
    <t>40.67.8555</t>
  </si>
  <si>
    <t>67, rue des Cinquante Otages</t>
  </si>
  <si>
    <t>Baane Mini Imports</t>
  </si>
  <si>
    <t>Bergulfsen</t>
  </si>
  <si>
    <t xml:space="preserve">Jonas </t>
  </si>
  <si>
    <t>07-98 9555</t>
  </si>
  <si>
    <t>Erling Skakkes gate 78</t>
  </si>
  <si>
    <t>Stavern</t>
  </si>
  <si>
    <t>4110</t>
  </si>
  <si>
    <t>Norway</t>
  </si>
  <si>
    <t>Mini Gifts Distributors Ltd.</t>
  </si>
  <si>
    <t>Nelson</t>
  </si>
  <si>
    <t>Susan</t>
  </si>
  <si>
    <t>4155551450</t>
  </si>
  <si>
    <t>5677 Strong St.</t>
  </si>
  <si>
    <t>San Rafael</t>
  </si>
  <si>
    <t>CA</t>
  </si>
  <si>
    <t>97562</t>
  </si>
  <si>
    <t>Havel &amp; Zbyszek Co</t>
  </si>
  <si>
    <t>Piestrzeniewicz</t>
  </si>
  <si>
    <t xml:space="preserve">Zbyszek </t>
  </si>
  <si>
    <t>(26) 642-7555</t>
  </si>
  <si>
    <t>ul. Filtrowa 68</t>
  </si>
  <si>
    <t>Warszawa</t>
  </si>
  <si>
    <t>01-012</t>
  </si>
  <si>
    <t>Poland</t>
  </si>
  <si>
    <t>Blauer See Auto, Co.</t>
  </si>
  <si>
    <t>Keitel</t>
  </si>
  <si>
    <t>Roland</t>
  </si>
  <si>
    <t>+49 69 66 90 2555</t>
  </si>
  <si>
    <t>Lyonerstr. 34</t>
  </si>
  <si>
    <t>Frankfurt</t>
  </si>
  <si>
    <t>60528</t>
  </si>
  <si>
    <t>Germany</t>
  </si>
  <si>
    <t>Mini Wheels Co.</t>
  </si>
  <si>
    <t>Murphy</t>
  </si>
  <si>
    <t>Julie</t>
  </si>
  <si>
    <t>6505555787</t>
  </si>
  <si>
    <t>5557 North Pendale Street</t>
  </si>
  <si>
    <t>San Francisco</t>
  </si>
  <si>
    <t>94217</t>
  </si>
  <si>
    <t>Land of Toys Inc.</t>
  </si>
  <si>
    <t>Lee</t>
  </si>
  <si>
    <t>Kwai</t>
  </si>
  <si>
    <t>2125557818</t>
  </si>
  <si>
    <t>897 Long Airport Avenue</t>
  </si>
  <si>
    <t>NYC</t>
  </si>
  <si>
    <t>NY</t>
  </si>
  <si>
    <t>10022</t>
  </si>
  <si>
    <t>Euro+ Shopping Channel</t>
  </si>
  <si>
    <t>Freyre</t>
  </si>
  <si>
    <t xml:space="preserve">Diego </t>
  </si>
  <si>
    <t>(91) 555 94 44</t>
  </si>
  <si>
    <t>C/ Moralzarzal, 86</t>
  </si>
  <si>
    <t>Madrid</t>
  </si>
  <si>
    <t>28034</t>
  </si>
  <si>
    <t>Spain</t>
  </si>
  <si>
    <t>Volvo Model Replicas, Co</t>
  </si>
  <si>
    <t>Berglund</t>
  </si>
  <si>
    <t xml:space="preserve">Christina </t>
  </si>
  <si>
    <t>0921-12 3555</t>
  </si>
  <si>
    <t>Berguvsvägen  8</t>
  </si>
  <si>
    <t>Luleå</t>
  </si>
  <si>
    <t>S-958 22</t>
  </si>
  <si>
    <t>Sweden</t>
  </si>
  <si>
    <t>Danish Wholesale Imports</t>
  </si>
  <si>
    <t>Petersen</t>
  </si>
  <si>
    <t xml:space="preserve">Jytte </t>
  </si>
  <si>
    <t>31 12 3555</t>
  </si>
  <si>
    <t>Vinbæltet 34</t>
  </si>
  <si>
    <t>Kobenhavn</t>
  </si>
  <si>
    <t>1734</t>
  </si>
  <si>
    <t>Denmark</t>
  </si>
  <si>
    <t>Saveley &amp; Henriot, Co.</t>
  </si>
  <si>
    <t>Saveley</t>
  </si>
  <si>
    <t xml:space="preserve">Mary </t>
  </si>
  <si>
    <t>78.32.5555</t>
  </si>
  <si>
    <t>2, rue du Commerce</t>
  </si>
  <si>
    <t>Lyon</t>
  </si>
  <si>
    <t>69004</t>
  </si>
  <si>
    <t>Dragon Souveniers, Ltd.</t>
  </si>
  <si>
    <t>Natividad</t>
  </si>
  <si>
    <t>Eric</t>
  </si>
  <si>
    <t>+65 221 7555</t>
  </si>
  <si>
    <t>Bronz Sok.</t>
  </si>
  <si>
    <t>Bronz Apt. 3/6 Tesvikiye</t>
  </si>
  <si>
    <t>Singapore</t>
  </si>
  <si>
    <t>079903</t>
  </si>
  <si>
    <t>Muscle Machine Inc</t>
  </si>
  <si>
    <t>Young</t>
  </si>
  <si>
    <t>Jeff</t>
  </si>
  <si>
    <t>2125557413</t>
  </si>
  <si>
    <t>4092 Furth Circle</t>
  </si>
  <si>
    <t>Suite 400</t>
  </si>
  <si>
    <t>Diecast Classics Inc.</t>
  </si>
  <si>
    <t>Leong</t>
  </si>
  <si>
    <t>Kelvin</t>
  </si>
  <si>
    <t>2155551555</t>
  </si>
  <si>
    <t>7586 Pompton St.</t>
  </si>
  <si>
    <t>Allentown</t>
  </si>
  <si>
    <t>PA</t>
  </si>
  <si>
    <t>70267</t>
  </si>
  <si>
    <t>Technics Stores Inc.</t>
  </si>
  <si>
    <t>Hashimoto</t>
  </si>
  <si>
    <t>Juri</t>
  </si>
  <si>
    <t>6505556809</t>
  </si>
  <si>
    <t>9408 Furth Circle</t>
  </si>
  <si>
    <t>Burlingame</t>
  </si>
  <si>
    <t>Handji Gifts&amp; Co</t>
  </si>
  <si>
    <t>Victorino</t>
  </si>
  <si>
    <t>Wendy</t>
  </si>
  <si>
    <t>+65 224 1555</t>
  </si>
  <si>
    <t>106 Linden Road Sandown</t>
  </si>
  <si>
    <t>2nd Floor</t>
  </si>
  <si>
    <t>069045</t>
  </si>
  <si>
    <t>Herkku Gifts</t>
  </si>
  <si>
    <t>Oeztan</t>
  </si>
  <si>
    <t>Veysel</t>
  </si>
  <si>
    <t>+47 2267 3215</t>
  </si>
  <si>
    <t>Brehmen St. 121</t>
  </si>
  <si>
    <t>PR 334 Sentrum</t>
  </si>
  <si>
    <t>Bergen</t>
  </si>
  <si>
    <t>N 5804</t>
  </si>
  <si>
    <t xml:space="preserve">Norway  </t>
  </si>
  <si>
    <t>American Souvenirs Inc</t>
  </si>
  <si>
    <t>Franco</t>
  </si>
  <si>
    <t>Keith</t>
  </si>
  <si>
    <t>2035557845</t>
  </si>
  <si>
    <t>149 Spinnaker Dr.</t>
  </si>
  <si>
    <t>Suite 101</t>
  </si>
  <si>
    <t>New Haven</t>
  </si>
  <si>
    <t>CT</t>
  </si>
  <si>
    <t>97823</t>
  </si>
  <si>
    <t>Porto Imports Co.</t>
  </si>
  <si>
    <t>de Castro</t>
  </si>
  <si>
    <t xml:space="preserve">Isabel </t>
  </si>
  <si>
    <t>(1) 356-5555</t>
  </si>
  <si>
    <t>Estrada da saúde n. 58</t>
  </si>
  <si>
    <t>Lisboa</t>
  </si>
  <si>
    <t>1756</t>
  </si>
  <si>
    <t>Portugal</t>
  </si>
  <si>
    <t>Daedalus Designs Imports</t>
  </si>
  <si>
    <t>Rancé</t>
  </si>
  <si>
    <t xml:space="preserve">Martine </t>
  </si>
  <si>
    <t>20.16.1555</t>
  </si>
  <si>
    <t>184, chaussée de Tournai</t>
  </si>
  <si>
    <t>Lille</t>
  </si>
  <si>
    <t>59000</t>
  </si>
  <si>
    <t>La Corne D'abondance, Co.</t>
  </si>
  <si>
    <t>Bertrand</t>
  </si>
  <si>
    <t>Marie</t>
  </si>
  <si>
    <t>(1) 42.34.2555</t>
  </si>
  <si>
    <t>265, boulevard Charonne</t>
  </si>
  <si>
    <t>Paris</t>
  </si>
  <si>
    <t>75012</t>
  </si>
  <si>
    <t>Cambridge Collectables Co.</t>
  </si>
  <si>
    <t>Tseng</t>
  </si>
  <si>
    <t>Jerry</t>
  </si>
  <si>
    <t>6175555555</t>
  </si>
  <si>
    <t>4658 Baden Av.</t>
  </si>
  <si>
    <t>Cambridge</t>
  </si>
  <si>
    <t>MA</t>
  </si>
  <si>
    <t>51247</t>
  </si>
  <si>
    <t>Gift Depot Inc.</t>
  </si>
  <si>
    <t>2035552570</t>
  </si>
  <si>
    <t>25593 South Bay Ln.</t>
  </si>
  <si>
    <t>Bridgewater</t>
  </si>
  <si>
    <t>Osaka Souveniers Co.</t>
  </si>
  <si>
    <t>Kentary</t>
  </si>
  <si>
    <t>Mory</t>
  </si>
  <si>
    <t>+81 06 6342 5555</t>
  </si>
  <si>
    <t>1-6-20 Dojima</t>
  </si>
  <si>
    <t>Kita-ku</t>
  </si>
  <si>
    <t>Osaka</t>
  </si>
  <si>
    <t xml:space="preserve"> 530-0003</t>
  </si>
  <si>
    <t>Japan</t>
  </si>
  <si>
    <t>Vitachrome Inc.</t>
  </si>
  <si>
    <t>Frick</t>
  </si>
  <si>
    <t>Michael</t>
  </si>
  <si>
    <t>2125551500</t>
  </si>
  <si>
    <t>2678 Kingston Rd.</t>
  </si>
  <si>
    <t>Toys of Finland, Co.</t>
  </si>
  <si>
    <t>Karttunen</t>
  </si>
  <si>
    <t>Matti</t>
  </si>
  <si>
    <t>90-224 8555</t>
  </si>
  <si>
    <t>Keskuskatu 45</t>
  </si>
  <si>
    <t>Helsinki</t>
  </si>
  <si>
    <t>21240</t>
  </si>
  <si>
    <t>Finland</t>
  </si>
  <si>
    <t>AV Stores, Co.</t>
  </si>
  <si>
    <t>Ashworth</t>
  </si>
  <si>
    <t>Rachel</t>
  </si>
  <si>
    <t>(171) 555-1555</t>
  </si>
  <si>
    <t>Fauntleroy Circus</t>
  </si>
  <si>
    <t>Manchester</t>
  </si>
  <si>
    <t>EC2 5NT</t>
  </si>
  <si>
    <t>UK</t>
  </si>
  <si>
    <t>Clover Collections, Co.</t>
  </si>
  <si>
    <t>Cassidy</t>
  </si>
  <si>
    <t>Dean</t>
  </si>
  <si>
    <t>+353 1862 1555</t>
  </si>
  <si>
    <t>25 Maiden Lane</t>
  </si>
  <si>
    <t>Floor No. 4</t>
  </si>
  <si>
    <t>Dublin</t>
  </si>
  <si>
    <t>2</t>
  </si>
  <si>
    <t>Ireland</t>
  </si>
  <si>
    <t>Auto-Moto Classics Inc.</t>
  </si>
  <si>
    <t>Taylor</t>
  </si>
  <si>
    <t>Leslie</t>
  </si>
  <si>
    <t>6175558428</t>
  </si>
  <si>
    <t>16780 Pompton St.</t>
  </si>
  <si>
    <t>Brickhaven</t>
  </si>
  <si>
    <t>58339</t>
  </si>
  <si>
    <t>UK Collectables, Ltd.</t>
  </si>
  <si>
    <t>Devon</t>
  </si>
  <si>
    <t>Elizabeth</t>
  </si>
  <si>
    <t>(171) 555-2282</t>
  </si>
  <si>
    <t>12, Berkeley Gardens Blvd</t>
  </si>
  <si>
    <t>Liverpool</t>
  </si>
  <si>
    <t>WX1 6LT</t>
  </si>
  <si>
    <t>Canadian Gift Exchange Network</t>
  </si>
  <si>
    <t>Tamuri</t>
  </si>
  <si>
    <t xml:space="preserve">Yoshi </t>
  </si>
  <si>
    <t>(604) 555-3392</t>
  </si>
  <si>
    <t>1900 Oak St.</t>
  </si>
  <si>
    <t>Vancouver</t>
  </si>
  <si>
    <t>BC</t>
  </si>
  <si>
    <t>V3F 2K1</t>
  </si>
  <si>
    <t>Canada</t>
  </si>
  <si>
    <t>Online Mini Collectables</t>
  </si>
  <si>
    <t>Barajas</t>
  </si>
  <si>
    <t>Miguel</t>
  </si>
  <si>
    <t>6175557555</t>
  </si>
  <si>
    <t>7635 Spinnaker Dr.</t>
  </si>
  <si>
    <t>Toys4GrownUps.com</t>
  </si>
  <si>
    <t>6265557265</t>
  </si>
  <si>
    <t>78934 Hillside Dr.</t>
  </si>
  <si>
    <t>Pasadena</t>
  </si>
  <si>
    <t>90003</t>
  </si>
  <si>
    <t>Asian Shopping Network, Co</t>
  </si>
  <si>
    <t>Walker</t>
  </si>
  <si>
    <t>Brydey</t>
  </si>
  <si>
    <t>+612 9411 1555</t>
  </si>
  <si>
    <t>Suntec Tower Three</t>
  </si>
  <si>
    <t>8 Temasek</t>
  </si>
  <si>
    <t>038988</t>
  </si>
  <si>
    <t>Mini Caravy</t>
  </si>
  <si>
    <t>Citeaux</t>
  </si>
  <si>
    <t xml:space="preserve">Frédérique </t>
  </si>
  <si>
    <t>88.60.1555</t>
  </si>
  <si>
    <t>24, place Kléber</t>
  </si>
  <si>
    <t>Strasbourg</t>
  </si>
  <si>
    <t>67000</t>
  </si>
  <si>
    <t>King Kong Collectables, Co.</t>
  </si>
  <si>
    <t>Gao</t>
  </si>
  <si>
    <t>Mike</t>
  </si>
  <si>
    <t>+852 2251 1555</t>
  </si>
  <si>
    <t>Bank of China Tower</t>
  </si>
  <si>
    <t>1 Garden Road</t>
  </si>
  <si>
    <t>Central Hong Kong</t>
  </si>
  <si>
    <t>Hong Kong</t>
  </si>
  <si>
    <t>Enaco Distributors</t>
  </si>
  <si>
    <t>Saavedra</t>
  </si>
  <si>
    <t xml:space="preserve">Eduardo </t>
  </si>
  <si>
    <t>(93) 203 4555</t>
  </si>
  <si>
    <t>Rambla de Cataluña, 23</t>
  </si>
  <si>
    <t>Barcelona</t>
  </si>
  <si>
    <t>08022</t>
  </si>
  <si>
    <t>Boards &amp; Toys Co.</t>
  </si>
  <si>
    <t>Mary</t>
  </si>
  <si>
    <t>3105552373</t>
  </si>
  <si>
    <t>4097 Douglas Av.</t>
  </si>
  <si>
    <t>Glendale</t>
  </si>
  <si>
    <t>92561</t>
  </si>
  <si>
    <t>Natürlich Autos</t>
  </si>
  <si>
    <t>Kloss</t>
  </si>
  <si>
    <t xml:space="preserve">Horst </t>
  </si>
  <si>
    <t>0372-555188</t>
  </si>
  <si>
    <t>Taucherstraße 10</t>
  </si>
  <si>
    <t>Cunewalde</t>
  </si>
  <si>
    <t>01307</t>
  </si>
  <si>
    <t>Heintze Collectables</t>
  </si>
  <si>
    <t>Ibsen</t>
  </si>
  <si>
    <t>Palle</t>
  </si>
  <si>
    <t>86 21 3555</t>
  </si>
  <si>
    <t>Smagsloget 45</t>
  </si>
  <si>
    <t>Århus</t>
  </si>
  <si>
    <t>8200</t>
  </si>
  <si>
    <t>Québec Home Shopping Network</t>
  </si>
  <si>
    <t>Fresnière</t>
  </si>
  <si>
    <t xml:space="preserve">Jean </t>
  </si>
  <si>
    <t>(514) 555-8054</t>
  </si>
  <si>
    <t>43 rue St. Laurent</t>
  </si>
  <si>
    <t>Montréal</t>
  </si>
  <si>
    <t>Québec</t>
  </si>
  <si>
    <t>H1J 1C3</t>
  </si>
  <si>
    <t>ANG Resellers</t>
  </si>
  <si>
    <t>Camino</t>
  </si>
  <si>
    <t xml:space="preserve">Alejandra </t>
  </si>
  <si>
    <t>(91) 745 6555</t>
  </si>
  <si>
    <t>Gran Vía, 1</t>
  </si>
  <si>
    <t>28001</t>
  </si>
  <si>
    <t>Collectable Mini Designs Co.</t>
  </si>
  <si>
    <t>Thompson</t>
  </si>
  <si>
    <t>Valarie</t>
  </si>
  <si>
    <t>7605558146</t>
  </si>
  <si>
    <t>361 Furth Circle</t>
  </si>
  <si>
    <t>San Diego</t>
  </si>
  <si>
    <t>91217</t>
  </si>
  <si>
    <t>giftsbymail.co.uk</t>
  </si>
  <si>
    <t>Bennett</t>
  </si>
  <si>
    <t xml:space="preserve">Helen </t>
  </si>
  <si>
    <t>(198) 555-8888</t>
  </si>
  <si>
    <t>Garden House</t>
  </si>
  <si>
    <t>Crowther Way 23</t>
  </si>
  <si>
    <t>Cowes</t>
  </si>
  <si>
    <t>Isle of Wight</t>
  </si>
  <si>
    <t>PO31 7PJ</t>
  </si>
  <si>
    <t>Alpha Cognac</t>
  </si>
  <si>
    <t>Roulet</t>
  </si>
  <si>
    <t xml:space="preserve">Annette </t>
  </si>
  <si>
    <t>61.77.6555</t>
  </si>
  <si>
    <t>1 rue Alsace-Lorraine</t>
  </si>
  <si>
    <t>Toulouse</t>
  </si>
  <si>
    <t>31000</t>
  </si>
  <si>
    <t>Messner Shopping Network</t>
  </si>
  <si>
    <t>Messner</t>
  </si>
  <si>
    <t xml:space="preserve">Renate </t>
  </si>
  <si>
    <t>069-0555984</t>
  </si>
  <si>
    <t>Magazinweg 7</t>
  </si>
  <si>
    <t>Amica Models &amp; Co.</t>
  </si>
  <si>
    <t>Accorti</t>
  </si>
  <si>
    <t xml:space="preserve">Paolo </t>
  </si>
  <si>
    <t>011-4988555</t>
  </si>
  <si>
    <t>Via Monte Bianco 34</t>
  </si>
  <si>
    <t>Torino</t>
  </si>
  <si>
    <t>10100</t>
  </si>
  <si>
    <t>Italy</t>
  </si>
  <si>
    <t>Lyon Souveniers</t>
  </si>
  <si>
    <t>Da Silva</t>
  </si>
  <si>
    <t>Daniel</t>
  </si>
  <si>
    <t>+33 1 46 62 7555</t>
  </si>
  <si>
    <t>27 rue du Colonel Pierre Avia</t>
  </si>
  <si>
    <t>75508</t>
  </si>
  <si>
    <t>Auto Associés &amp; Cie.</t>
  </si>
  <si>
    <t>Tonini</t>
  </si>
  <si>
    <t xml:space="preserve">Daniel </t>
  </si>
  <si>
    <t>30.59.8555</t>
  </si>
  <si>
    <t>67, avenue de l'Europe</t>
  </si>
  <si>
    <t>Versailles</t>
  </si>
  <si>
    <t>78000</t>
  </si>
  <si>
    <t>Toms Spezialitäten, Ltd</t>
  </si>
  <si>
    <t>Pfalzheim</t>
  </si>
  <si>
    <t xml:space="preserve">Henriette </t>
  </si>
  <si>
    <t>0221-5554327</t>
  </si>
  <si>
    <t>Mehrheimerstr. 369</t>
  </si>
  <si>
    <t>Köln</t>
  </si>
  <si>
    <t>50739</t>
  </si>
  <si>
    <t>Royal Canadian Collectables, Ltd.</t>
  </si>
  <si>
    <t>Lincoln</t>
  </si>
  <si>
    <t xml:space="preserve">Elizabeth </t>
  </si>
  <si>
    <t>(604) 555-4555</t>
  </si>
  <si>
    <t>23 Tsawassen Blvd.</t>
  </si>
  <si>
    <t>Tsawassen</t>
  </si>
  <si>
    <t>T2F 8M4</t>
  </si>
  <si>
    <t>Franken Gifts, Co</t>
  </si>
  <si>
    <t>Franken</t>
  </si>
  <si>
    <t xml:space="preserve">Peter </t>
  </si>
  <si>
    <t>089-0877555</t>
  </si>
  <si>
    <t>Berliner Platz 43</t>
  </si>
  <si>
    <t>München</t>
  </si>
  <si>
    <t>80805</t>
  </si>
  <si>
    <t>Anna's Decorations, Ltd</t>
  </si>
  <si>
    <t>O'Hara</t>
  </si>
  <si>
    <t>Anna</t>
  </si>
  <si>
    <t>02 9936 8555</t>
  </si>
  <si>
    <t>201 Miller Street</t>
  </si>
  <si>
    <t>Level 15</t>
  </si>
  <si>
    <t>North Sydney</t>
  </si>
  <si>
    <t>NSW</t>
  </si>
  <si>
    <t>2060</t>
  </si>
  <si>
    <t>Rovelli Gifts</t>
  </si>
  <si>
    <t>Rovelli</t>
  </si>
  <si>
    <t xml:space="preserve">Giovanni </t>
  </si>
  <si>
    <t>035-640555</t>
  </si>
  <si>
    <t>Via Ludovico il Moro 22</t>
  </si>
  <si>
    <t>Bergamo</t>
  </si>
  <si>
    <t>24100</t>
  </si>
  <si>
    <t>Souveniers And Things Co.</t>
  </si>
  <si>
    <t>Huxley</t>
  </si>
  <si>
    <t>Adrian</t>
  </si>
  <si>
    <t>+61 2 9495 8555</t>
  </si>
  <si>
    <t>Monitor Money Building</t>
  </si>
  <si>
    <t>815 Pacific Hwy</t>
  </si>
  <si>
    <t>Chatswood</t>
  </si>
  <si>
    <t>2067</t>
  </si>
  <si>
    <t>Marta's Replicas Co.</t>
  </si>
  <si>
    <t>Hernandez</t>
  </si>
  <si>
    <t>Marta</t>
  </si>
  <si>
    <t>6175558555</t>
  </si>
  <si>
    <t>39323 Spinnaker Dr.</t>
  </si>
  <si>
    <t>BG&amp;E Collectables</t>
  </si>
  <si>
    <t>Harrison</t>
  </si>
  <si>
    <t>Ed</t>
  </si>
  <si>
    <t>+41 26 425 50 01</t>
  </si>
  <si>
    <t xml:space="preserve">Rte des Arsenaux 41 </t>
  </si>
  <si>
    <t>Fribourg</t>
  </si>
  <si>
    <t>1700</t>
  </si>
  <si>
    <t>Switzerland</t>
  </si>
  <si>
    <t>Vida Sport, Ltd</t>
  </si>
  <si>
    <t>Holz</t>
  </si>
  <si>
    <t>Mihael</t>
  </si>
  <si>
    <t>0897-034555</t>
  </si>
  <si>
    <t>Grenzacherweg 237</t>
  </si>
  <si>
    <t>Genève</t>
  </si>
  <si>
    <t>1203</t>
  </si>
  <si>
    <t>Norway Gifts By Mail, Co.</t>
  </si>
  <si>
    <t>Klaeboe</t>
  </si>
  <si>
    <t>Jan</t>
  </si>
  <si>
    <t>+47 2212 1555</t>
  </si>
  <si>
    <t>Drammensveien 126A</t>
  </si>
  <si>
    <t>PB 211 Sentrum</t>
  </si>
  <si>
    <t>Oslo</t>
  </si>
  <si>
    <t>N 0106</t>
  </si>
  <si>
    <t>Schuyler Imports</t>
  </si>
  <si>
    <t>Schuyler</t>
  </si>
  <si>
    <t>Bradley</t>
  </si>
  <si>
    <t>+31 20 491 9555</t>
  </si>
  <si>
    <t>Kingsfordweg 151</t>
  </si>
  <si>
    <t>Amsterdam</t>
  </si>
  <si>
    <t>1043 GR</t>
  </si>
  <si>
    <t>Netherlands</t>
  </si>
  <si>
    <t>Der Hund Imports</t>
  </si>
  <si>
    <t>Andersen</t>
  </si>
  <si>
    <t>Mel</t>
  </si>
  <si>
    <t>030-0074555</t>
  </si>
  <si>
    <t>Obere Str. 57</t>
  </si>
  <si>
    <t>Berlin</t>
  </si>
  <si>
    <t>12209</t>
  </si>
  <si>
    <t>Oulu Toy Supplies, Inc.</t>
  </si>
  <si>
    <t>Koskitalo</t>
  </si>
  <si>
    <t>Pirkko</t>
  </si>
  <si>
    <t>981-443655</t>
  </si>
  <si>
    <t>Torikatu 38</t>
  </si>
  <si>
    <t>Oulu</t>
  </si>
  <si>
    <t>90110</t>
  </si>
  <si>
    <t>Petit Auto</t>
  </si>
  <si>
    <t>Dewey</t>
  </si>
  <si>
    <t xml:space="preserve">Catherine </t>
  </si>
  <si>
    <t>(02) 5554 67</t>
  </si>
  <si>
    <t>Rue Joseph-Bens 532</t>
  </si>
  <si>
    <t>Bruxelles</t>
  </si>
  <si>
    <t>B-1180</t>
  </si>
  <si>
    <t>Belgium</t>
  </si>
  <si>
    <t>Mini Classics</t>
  </si>
  <si>
    <t>Steve</t>
  </si>
  <si>
    <t>9145554562</t>
  </si>
  <si>
    <t>3758 North Pendale Street</t>
  </si>
  <si>
    <t>White Plains</t>
  </si>
  <si>
    <t>24067</t>
  </si>
  <si>
    <t>Mini Creations Ltd.</t>
  </si>
  <si>
    <t>Huang</t>
  </si>
  <si>
    <t>Wing</t>
  </si>
  <si>
    <t>5085559555</t>
  </si>
  <si>
    <t>4575 Hillside Dr.</t>
  </si>
  <si>
    <t>New Bedford</t>
  </si>
  <si>
    <t>50553</t>
  </si>
  <si>
    <t>Corporate Gift Ideas Co.</t>
  </si>
  <si>
    <t>Brown</t>
  </si>
  <si>
    <t>6505551386</t>
  </si>
  <si>
    <t>7734 Strong St.</t>
  </si>
  <si>
    <t>Down Under Souveniers, Inc</t>
  </si>
  <si>
    <t>Graham</t>
  </si>
  <si>
    <t>+64 9 312 5555</t>
  </si>
  <si>
    <t>162-164 Grafton Road</t>
  </si>
  <si>
    <t>Level 2</t>
  </si>
  <si>
    <t xml:space="preserve">Auckland  </t>
  </si>
  <si>
    <t>New Zealand</t>
  </si>
  <si>
    <t>Stylish Desk Decors, Co.</t>
  </si>
  <si>
    <t xml:space="preserve">Ann </t>
  </si>
  <si>
    <t>(171) 555-0297</t>
  </si>
  <si>
    <t>35 King George</t>
  </si>
  <si>
    <t>London</t>
  </si>
  <si>
    <t>WX3 6FW</t>
  </si>
  <si>
    <t>Tekni Collectables Inc.</t>
  </si>
  <si>
    <t>William</t>
  </si>
  <si>
    <t>2015559350</t>
  </si>
  <si>
    <t>7476 Moss Rd.</t>
  </si>
  <si>
    <t>Newark</t>
  </si>
  <si>
    <t>NJ</t>
  </si>
  <si>
    <t>94019</t>
  </si>
  <si>
    <t>Australian Gift Network, Co</t>
  </si>
  <si>
    <t>Calaghan</t>
  </si>
  <si>
    <t>Ben</t>
  </si>
  <si>
    <t>61-7-3844-6555</t>
  </si>
  <si>
    <t>31 Duncan St. West End</t>
  </si>
  <si>
    <t>South Brisbane</t>
  </si>
  <si>
    <t>Queensland</t>
  </si>
  <si>
    <t>4101</t>
  </si>
  <si>
    <t>Suominen Souveniers</t>
  </si>
  <si>
    <t>Suominen</t>
  </si>
  <si>
    <t>Kalle</t>
  </si>
  <si>
    <t>+358 9 8045 555</t>
  </si>
  <si>
    <t>Software Engineering Center</t>
  </si>
  <si>
    <t>SEC Oy</t>
  </si>
  <si>
    <t>Espoo</t>
  </si>
  <si>
    <t>FIN-02271</t>
  </si>
  <si>
    <t>Cramer Spezialitäten, Ltd</t>
  </si>
  <si>
    <t>Cramer</t>
  </si>
  <si>
    <t xml:space="preserve">Philip </t>
  </si>
  <si>
    <t>0555-09555</t>
  </si>
  <si>
    <t>Maubelstr. 90</t>
  </si>
  <si>
    <t>Brandenburg</t>
  </si>
  <si>
    <t>14776</t>
  </si>
  <si>
    <t>Classic Gift Ideas, Inc</t>
  </si>
  <si>
    <t>Cervantes</t>
  </si>
  <si>
    <t>Francisca</t>
  </si>
  <si>
    <t>2155554695</t>
  </si>
  <si>
    <t>782 First Street</t>
  </si>
  <si>
    <t>Philadelphia</t>
  </si>
  <si>
    <t>71270</t>
  </si>
  <si>
    <t>CAF Imports</t>
  </si>
  <si>
    <t>Fernandez</t>
  </si>
  <si>
    <t>Jesus</t>
  </si>
  <si>
    <t>+34 913 728 555</t>
  </si>
  <si>
    <t>Merchants House</t>
  </si>
  <si>
    <t>27-30 Merchant's Quay</t>
  </si>
  <si>
    <t>28023</t>
  </si>
  <si>
    <t>Men 'R' US Retailers, Ltd.</t>
  </si>
  <si>
    <t>Chandler</t>
  </si>
  <si>
    <t>Brian</t>
  </si>
  <si>
    <t>2155554369</t>
  </si>
  <si>
    <t>6047 Douglas Av.</t>
  </si>
  <si>
    <t>Los Angeles</t>
  </si>
  <si>
    <t>91003</t>
  </si>
  <si>
    <t>Asian Treasures, Inc.</t>
  </si>
  <si>
    <t>McKenna</t>
  </si>
  <si>
    <t xml:space="preserve">Patricia </t>
  </si>
  <si>
    <t>2967 555</t>
  </si>
  <si>
    <t>8 Johnstown Road</t>
  </si>
  <si>
    <t>Cork</t>
  </si>
  <si>
    <t>Co. Cork</t>
  </si>
  <si>
    <t>Marseille Mini Autos</t>
  </si>
  <si>
    <t>Lebihan</t>
  </si>
  <si>
    <t xml:space="preserve">Laurence </t>
  </si>
  <si>
    <t>91.24.4555</t>
  </si>
  <si>
    <t>12, rue des Bouchers</t>
  </si>
  <si>
    <t>Marseille</t>
  </si>
  <si>
    <t>13008</t>
  </si>
  <si>
    <t>Reims Collectables</t>
  </si>
  <si>
    <t>Henriot</t>
  </si>
  <si>
    <t xml:space="preserve">Paul </t>
  </si>
  <si>
    <t>26.47.1555</t>
  </si>
  <si>
    <t>59 rue de l'Abbaye</t>
  </si>
  <si>
    <t>Reims</t>
  </si>
  <si>
    <t>51100</t>
  </si>
  <si>
    <t>SAR Distributors, Co</t>
  </si>
  <si>
    <t>Kuger</t>
  </si>
  <si>
    <t>Armand</t>
  </si>
  <si>
    <t>+27 21 550 3555</t>
  </si>
  <si>
    <t>1250 Pretorius Street</t>
  </si>
  <si>
    <t>Hatfield</t>
  </si>
  <si>
    <t>Pretoria</t>
  </si>
  <si>
    <t>0028</t>
  </si>
  <si>
    <t>South Africa</t>
  </si>
  <si>
    <t>GiftsForHim.com</t>
  </si>
  <si>
    <t>MacKinlay</t>
  </si>
  <si>
    <t>Wales</t>
  </si>
  <si>
    <t>64-9-3763555</t>
  </si>
  <si>
    <t>199 Great North Road</t>
  </si>
  <si>
    <t>Auckland</t>
  </si>
  <si>
    <t>Kommission Auto</t>
  </si>
  <si>
    <t>Josephs</t>
  </si>
  <si>
    <t>Karin</t>
  </si>
  <si>
    <t>0251-555259</t>
  </si>
  <si>
    <t>Luisenstr. 48</t>
  </si>
  <si>
    <t>Münster</t>
  </si>
  <si>
    <t>44087</t>
  </si>
  <si>
    <t>Gifts4AllAges.com</t>
  </si>
  <si>
    <t>Yoshido</t>
  </si>
  <si>
    <t>6175559555</t>
  </si>
  <si>
    <t>8616 Spinnaker Dr.</t>
  </si>
  <si>
    <t>Boston</t>
  </si>
  <si>
    <t>51003</t>
  </si>
  <si>
    <t>Online Diecast Creations Co.</t>
  </si>
  <si>
    <t>Dorothy</t>
  </si>
  <si>
    <t>6035558647</t>
  </si>
  <si>
    <t>2304 Long Airport Avenue</t>
  </si>
  <si>
    <t>Nashua</t>
  </si>
  <si>
    <t>NH</t>
  </si>
  <si>
    <t>62005</t>
  </si>
  <si>
    <t>Lisboa Souveniers, Inc</t>
  </si>
  <si>
    <t>Rodriguez</t>
  </si>
  <si>
    <t xml:space="preserve">Lino </t>
  </si>
  <si>
    <t>(1) 354-2555</t>
  </si>
  <si>
    <t>Jardim das rosas n. 32</t>
  </si>
  <si>
    <t>1675</t>
  </si>
  <si>
    <t>Precious Collectables</t>
  </si>
  <si>
    <t>Urs</t>
  </si>
  <si>
    <t>Braun</t>
  </si>
  <si>
    <t>0452-076555</t>
  </si>
  <si>
    <t>Hauptstr. 29</t>
  </si>
  <si>
    <t>Bern</t>
  </si>
  <si>
    <t>3012</t>
  </si>
  <si>
    <t>Collectables For Less Inc.</t>
  </si>
  <si>
    <t>Allen</t>
  </si>
  <si>
    <t>7825 Douglas Av.</t>
  </si>
  <si>
    <t>Royale Belge</t>
  </si>
  <si>
    <t>Cartrain</t>
  </si>
  <si>
    <t xml:space="preserve">Pascale </t>
  </si>
  <si>
    <t>(071) 23 67 2555</t>
  </si>
  <si>
    <t>Boulevard Tirou, 255</t>
  </si>
  <si>
    <t>Charleroi</t>
  </si>
  <si>
    <t>B-6000</t>
  </si>
  <si>
    <t>Salzburg Collectables</t>
  </si>
  <si>
    <t>Pipps</t>
  </si>
  <si>
    <t xml:space="preserve">Georg </t>
  </si>
  <si>
    <t>6562-9555</t>
  </si>
  <si>
    <t>Geislweg 14</t>
  </si>
  <si>
    <t>Salzburg</t>
  </si>
  <si>
    <t>5020</t>
  </si>
  <si>
    <t>Austria</t>
  </si>
  <si>
    <t>Cruz &amp; Sons Co.</t>
  </si>
  <si>
    <t>Cruz</t>
  </si>
  <si>
    <t>Arnold</t>
  </si>
  <si>
    <t>+63 2 555 3587</t>
  </si>
  <si>
    <t>15 McCallum Street</t>
  </si>
  <si>
    <t>NatWest Center #13-03</t>
  </si>
  <si>
    <t>Makati City</t>
  </si>
  <si>
    <t>1227 MM</t>
  </si>
  <si>
    <t>Philippines</t>
  </si>
  <si>
    <t>L'ordine Souveniers</t>
  </si>
  <si>
    <t>Moroni</t>
  </si>
  <si>
    <t xml:space="preserve">Maurizio </t>
  </si>
  <si>
    <t>0522-556555</t>
  </si>
  <si>
    <t>Strada Provinciale 124</t>
  </si>
  <si>
    <t>Reggio Emilia</t>
  </si>
  <si>
    <t>42100</t>
  </si>
  <si>
    <t>Tokyo Collectables, Ltd</t>
  </si>
  <si>
    <t>Shimamura</t>
  </si>
  <si>
    <t>Akiko</t>
  </si>
  <si>
    <t>+81 3 3584 0555</t>
  </si>
  <si>
    <t>2-2-8 Roppongi</t>
  </si>
  <si>
    <t>Minato-ku</t>
  </si>
  <si>
    <t>Tokyo</t>
  </si>
  <si>
    <t>106-0032</t>
  </si>
  <si>
    <t>Auto Canal+ Petit</t>
  </si>
  <si>
    <t>Perrier</t>
  </si>
  <si>
    <t>Dominique</t>
  </si>
  <si>
    <t>(1) 47.55.6555</t>
  </si>
  <si>
    <t>25, rue Lauriston</t>
  </si>
  <si>
    <t>75016</t>
  </si>
  <si>
    <t>Stuttgart Collectable Exchange</t>
  </si>
  <si>
    <t>Müller</t>
  </si>
  <si>
    <t xml:space="preserve">Rita </t>
  </si>
  <si>
    <t>0711-555361</t>
  </si>
  <si>
    <t>Adenauerallee 900</t>
  </si>
  <si>
    <t>Stuttgart</t>
  </si>
  <si>
    <t>70563</t>
  </si>
  <si>
    <t>Extreme Desk Decorations, Ltd</t>
  </si>
  <si>
    <t>McRoy</t>
  </si>
  <si>
    <t>Sarah</t>
  </si>
  <si>
    <t>04 499 9555</t>
  </si>
  <si>
    <t>101 Lambton Quay</t>
  </si>
  <si>
    <t>Level 11</t>
  </si>
  <si>
    <t>Wellington</t>
  </si>
  <si>
    <t>Bavarian Collectables Imports, Co.</t>
  </si>
  <si>
    <t>Donnermeyer</t>
  </si>
  <si>
    <t xml:space="preserve"> +49 89 61 08 9555</t>
  </si>
  <si>
    <t>Hansastr. 15</t>
  </si>
  <si>
    <t>Munich</t>
  </si>
  <si>
    <t>80686</t>
  </si>
  <si>
    <t>Classic Legends Inc.</t>
  </si>
  <si>
    <t>Maria</t>
  </si>
  <si>
    <t>2125558493</t>
  </si>
  <si>
    <t>5905 Pompton St.</t>
  </si>
  <si>
    <t>Suite 750</t>
  </si>
  <si>
    <t>Feuer Online Stores, Inc</t>
  </si>
  <si>
    <t>Feuer</t>
  </si>
  <si>
    <t xml:space="preserve">Alexander </t>
  </si>
  <si>
    <t>0342-555176</t>
  </si>
  <si>
    <t>Heerstr. 22</t>
  </si>
  <si>
    <t>Leipzig</t>
  </si>
  <si>
    <t>04179</t>
  </si>
  <si>
    <t>Gift Ideas Corp.</t>
  </si>
  <si>
    <t>Lewis</t>
  </si>
  <si>
    <t>Dan</t>
  </si>
  <si>
    <t>2035554407</t>
  </si>
  <si>
    <t>2440 Pompton St.</t>
  </si>
  <si>
    <t>97561</t>
  </si>
  <si>
    <t>Scandinavian Gift Ideas</t>
  </si>
  <si>
    <t>Larsson</t>
  </si>
  <si>
    <t>Martha</t>
  </si>
  <si>
    <t>0695-34 6555</t>
  </si>
  <si>
    <t>Åkergatan 24</t>
  </si>
  <si>
    <t>Bräcke</t>
  </si>
  <si>
    <t>S-844 67</t>
  </si>
  <si>
    <t>The Sharp Gifts Warehouse</t>
  </si>
  <si>
    <t>Sue</t>
  </si>
  <si>
    <t>4085553659</t>
  </si>
  <si>
    <t>3086 Ingle Ln.</t>
  </si>
  <si>
    <t>San Jose</t>
  </si>
  <si>
    <t>Mini Auto Werke</t>
  </si>
  <si>
    <t>Mendel</t>
  </si>
  <si>
    <t xml:space="preserve">Roland </t>
  </si>
  <si>
    <t>7675-3555</t>
  </si>
  <si>
    <t>Kirchgasse 6</t>
  </si>
  <si>
    <t>Graz</t>
  </si>
  <si>
    <t>8010</t>
  </si>
  <si>
    <t>Super Scale Inc.</t>
  </si>
  <si>
    <t>2035559545</t>
  </si>
  <si>
    <t>567 North Pendale Street</t>
  </si>
  <si>
    <t>Microscale Inc.</t>
  </si>
  <si>
    <t>Choi</t>
  </si>
  <si>
    <t>Yu</t>
  </si>
  <si>
    <t>2125551957</t>
  </si>
  <si>
    <t>5290 North Pendale Street</t>
  </si>
  <si>
    <t>Suite 200</t>
  </si>
  <si>
    <t>Corrida Auto Replicas, Ltd</t>
  </si>
  <si>
    <t>Sommer</t>
  </si>
  <si>
    <t xml:space="preserve">Martín </t>
  </si>
  <si>
    <t>(91) 555 22 82</t>
  </si>
  <si>
    <t>C/ Araquil, 67</t>
  </si>
  <si>
    <t>Warburg Exchange</t>
  </si>
  <si>
    <t>Ottlieb</t>
  </si>
  <si>
    <t xml:space="preserve">Sven </t>
  </si>
  <si>
    <t>0241-039123</t>
  </si>
  <si>
    <t>Walserweg 21</t>
  </si>
  <si>
    <t>Aachen</t>
  </si>
  <si>
    <t>52066</t>
  </si>
  <si>
    <t>FunGiftIdeas.com</t>
  </si>
  <si>
    <t>Benitez</t>
  </si>
  <si>
    <t>Violeta</t>
  </si>
  <si>
    <t>5085552555</t>
  </si>
  <si>
    <t>1785 First Street</t>
  </si>
  <si>
    <t>Anton Designs, Ltd.</t>
  </si>
  <si>
    <t>Anton</t>
  </si>
  <si>
    <t>Carmen</t>
  </si>
  <si>
    <t>+34 913 728555</t>
  </si>
  <si>
    <t>c/ Gobelas, 19-1 Urb. La Florida</t>
  </si>
  <si>
    <t>Australian Collectables, Ltd</t>
  </si>
  <si>
    <t>Clenahan</t>
  </si>
  <si>
    <t>Sean</t>
  </si>
  <si>
    <t>61-9-3844-6555</t>
  </si>
  <si>
    <t>7 Allen Street</t>
  </si>
  <si>
    <t>Glen Waverly</t>
  </si>
  <si>
    <t>3150</t>
  </si>
  <si>
    <t>Frau da Collezione</t>
  </si>
  <si>
    <t>Ricotti</t>
  </si>
  <si>
    <t>+39 022515555</t>
  </si>
  <si>
    <t>20093 Cologno Monzese</t>
  </si>
  <si>
    <t>Alessandro Volta 16</t>
  </si>
  <si>
    <t>Milan</t>
  </si>
  <si>
    <t>West Coast Collectables Co.</t>
  </si>
  <si>
    <t>3105553722</t>
  </si>
  <si>
    <t>3675 Furth Circle</t>
  </si>
  <si>
    <t>Burbank</t>
  </si>
  <si>
    <t>Mit Vergnügen &amp; Co.</t>
  </si>
  <si>
    <t>Moos</t>
  </si>
  <si>
    <t xml:space="preserve">Hanna </t>
  </si>
  <si>
    <t>0621-08555</t>
  </si>
  <si>
    <t>Forsterstr. 57</t>
  </si>
  <si>
    <t>Mannheim</t>
  </si>
  <si>
    <t>68306</t>
  </si>
  <si>
    <t>Kremlin Collectables, Co.</t>
  </si>
  <si>
    <t>Semenov</t>
  </si>
  <si>
    <t>+7 812 293 0521</t>
  </si>
  <si>
    <t>2 Pobedy Square</t>
  </si>
  <si>
    <t>Saint Petersburg</t>
  </si>
  <si>
    <t>196143</t>
  </si>
  <si>
    <t>Russia</t>
  </si>
  <si>
    <t>Raanan Stores, Inc</t>
  </si>
  <si>
    <t>Altagar,G M</t>
  </si>
  <si>
    <t>Raanan</t>
  </si>
  <si>
    <t>+ 972 9 959 8555</t>
  </si>
  <si>
    <t>3 Hagalim Blv.</t>
  </si>
  <si>
    <t>Herzlia</t>
  </si>
  <si>
    <t>47625</t>
  </si>
  <si>
    <t>Israel</t>
  </si>
  <si>
    <t>Iberia Gift Imports, Corp.</t>
  </si>
  <si>
    <t>Roel</t>
  </si>
  <si>
    <t xml:space="preserve">José Pedro </t>
  </si>
  <si>
    <t>(95) 555 82 82</t>
  </si>
  <si>
    <t>C/ Romero, 33</t>
  </si>
  <si>
    <t>Sevilla</t>
  </si>
  <si>
    <t>41101</t>
  </si>
  <si>
    <t>Motor Mint Distributors Inc.</t>
  </si>
  <si>
    <t>Salazar</t>
  </si>
  <si>
    <t>Rosa</t>
  </si>
  <si>
    <t>2155559857</t>
  </si>
  <si>
    <t>11328 Douglas Av.</t>
  </si>
  <si>
    <t>Signal Collectibles Ltd.</t>
  </si>
  <si>
    <t>4155554312</t>
  </si>
  <si>
    <t>2793 Furth Circle</t>
  </si>
  <si>
    <t>Brisbane</t>
  </si>
  <si>
    <t>Double Decker Gift Stores, Ltd</t>
  </si>
  <si>
    <t>Smith</t>
  </si>
  <si>
    <t xml:space="preserve">Thomas </t>
  </si>
  <si>
    <t>(171) 555-7555</t>
  </si>
  <si>
    <t>120 Hanover Sq.</t>
  </si>
  <si>
    <t>WA1 1DP</t>
  </si>
  <si>
    <t>Diecast Collectables</t>
  </si>
  <si>
    <t>6175552555</t>
  </si>
  <si>
    <t>6251 Ingle Ln.</t>
  </si>
  <si>
    <t>Kelly's Gift Shop</t>
  </si>
  <si>
    <t>Snowden</t>
  </si>
  <si>
    <t>Tony</t>
  </si>
  <si>
    <t>+64 9 5555500</t>
  </si>
  <si>
    <t>Arenales 1938 3'A'</t>
  </si>
  <si>
    <t>EMP_ID</t>
  </si>
  <si>
    <t>lastName</t>
  </si>
  <si>
    <t>firstName</t>
  </si>
  <si>
    <t>extension</t>
  </si>
  <si>
    <t>email</t>
  </si>
  <si>
    <t>officeCode</t>
  </si>
  <si>
    <t>reportsTo</t>
  </si>
  <si>
    <t>jobTitle</t>
  </si>
  <si>
    <t>XLOOKUP</t>
  </si>
  <si>
    <t>Diane</t>
  </si>
  <si>
    <t>x5800</t>
  </si>
  <si>
    <t>dmurphy@classicmodelcars.com</t>
  </si>
  <si>
    <t>1</t>
  </si>
  <si>
    <t>President</t>
  </si>
  <si>
    <t>Patterson</t>
  </si>
  <si>
    <t>x4611</t>
  </si>
  <si>
    <t>mpatterso@classicmodelcars.com</t>
  </si>
  <si>
    <t>VP Sales</t>
  </si>
  <si>
    <t>Firrelli</t>
  </si>
  <si>
    <t>x9273</t>
  </si>
  <si>
    <t>jfirrelli@classicmodelcars.com</t>
  </si>
  <si>
    <t>VP Marketing</t>
  </si>
  <si>
    <t>x4871</t>
  </si>
  <si>
    <t>wpatterson@classicmodelcars.com</t>
  </si>
  <si>
    <t>6</t>
  </si>
  <si>
    <t>Sales Manager (APAC)</t>
  </si>
  <si>
    <t>Bondur</t>
  </si>
  <si>
    <t>Gerard</t>
  </si>
  <si>
    <t>x5408</t>
  </si>
  <si>
    <t>gbondur@classicmodelcars.com</t>
  </si>
  <si>
    <t>4</t>
  </si>
  <si>
    <t>Sale Manager (EMEA)</t>
  </si>
  <si>
    <t>Bow</t>
  </si>
  <si>
    <t>Anthony</t>
  </si>
  <si>
    <t>x5428</t>
  </si>
  <si>
    <t>abow@classicmodelcars.com</t>
  </si>
  <si>
    <t>Sales Manager (NA)</t>
  </si>
  <si>
    <t>Jennings</t>
  </si>
  <si>
    <t>x3291</t>
  </si>
  <si>
    <t>ljennings@classicmodelcars.com</t>
  </si>
  <si>
    <t>Sales Rep</t>
  </si>
  <si>
    <t>x4065</t>
  </si>
  <si>
    <t>lthompson@classicmodelcars.com</t>
  </si>
  <si>
    <t>x2173</t>
  </si>
  <si>
    <t>x4334</t>
  </si>
  <si>
    <t>spatterson@classicmodelcars.com</t>
  </si>
  <si>
    <t>Foon Yue</t>
  </si>
  <si>
    <t>x2248</t>
  </si>
  <si>
    <t>ftseng@classicmodelcars.com</t>
  </si>
  <si>
    <t>3</t>
  </si>
  <si>
    <t>Vanauf</t>
  </si>
  <si>
    <t>George</t>
  </si>
  <si>
    <t>x4102</t>
  </si>
  <si>
    <t>gvanauf@classicmodelcars.com</t>
  </si>
  <si>
    <t>Loui</t>
  </si>
  <si>
    <t>x6493</t>
  </si>
  <si>
    <t>lbondur@classicmodelcars.com</t>
  </si>
  <si>
    <t>x2028</t>
  </si>
  <si>
    <t>ghernande@classicmodelcars.com</t>
  </si>
  <si>
    <t>Castillo</t>
  </si>
  <si>
    <t>Pamela</t>
  </si>
  <si>
    <t>x2759</t>
  </si>
  <si>
    <t>pcastillo@classicmodelcars.com</t>
  </si>
  <si>
    <t>Bott</t>
  </si>
  <si>
    <t>Larry</t>
  </si>
  <si>
    <t>x2311</t>
  </si>
  <si>
    <t>lbott@classicmodelcars.com</t>
  </si>
  <si>
    <t>7</t>
  </si>
  <si>
    <t>Jones</t>
  </si>
  <si>
    <t>Barry</t>
  </si>
  <si>
    <t>x102</t>
  </si>
  <si>
    <t>bjones@classicmodelcars.com</t>
  </si>
  <si>
    <t>Fixter</t>
  </si>
  <si>
    <t>Andy</t>
  </si>
  <si>
    <t>x101</t>
  </si>
  <si>
    <t>afixter@classicmodelcars.com</t>
  </si>
  <si>
    <t>Marsh</t>
  </si>
  <si>
    <t>pmarsh@classicmodelcars.com</t>
  </si>
  <si>
    <t>Tom</t>
  </si>
  <si>
    <t>x103</t>
  </si>
  <si>
    <t>tking@classicmodelcars.com</t>
  </si>
  <si>
    <t>Nishi</t>
  </si>
  <si>
    <t>Mami</t>
  </si>
  <si>
    <t>mnishi@classicmodelcars.com</t>
  </si>
  <si>
    <t>5</t>
  </si>
  <si>
    <t>Kato</t>
  </si>
  <si>
    <t>Yoshimi</t>
  </si>
  <si>
    <t>ykato@classicmodelcars.com</t>
  </si>
  <si>
    <t>Martin</t>
  </si>
  <si>
    <t>x2312</t>
  </si>
  <si>
    <t>mgerard@classicmodelcars.com</t>
  </si>
  <si>
    <t>emp_id</t>
  </si>
  <si>
    <t>Here method to fix null values</t>
  </si>
  <si>
    <t>this is average of the number here</t>
  </si>
  <si>
    <t>white space remove</t>
  </si>
  <si>
    <t>Text to columns</t>
  </si>
  <si>
    <t>Concatenate</t>
  </si>
  <si>
    <t xml:space="preserve">King </t>
  </si>
  <si>
    <t xml:space="preserve">Ferguson  </t>
  </si>
  <si>
    <t xml:space="preserve">   Nelson   </t>
  </si>
  <si>
    <t xml:space="preserve">   Keitel</t>
  </si>
  <si>
    <t xml:space="preserve">    Lee   </t>
  </si>
  <si>
    <t xml:space="preserve">  Saveley</t>
  </si>
  <si>
    <t xml:space="preserve">Oeztan    </t>
  </si>
  <si>
    <t>Strings method</t>
  </si>
  <si>
    <t>Prefix</t>
  </si>
  <si>
    <t>first name</t>
  </si>
  <si>
    <t>last name</t>
  </si>
  <si>
    <t>concatenate</t>
  </si>
  <si>
    <t>lower</t>
  </si>
  <si>
    <t>upper</t>
  </si>
  <si>
    <t>right</t>
  </si>
  <si>
    <t>left</t>
  </si>
  <si>
    <t>mid</t>
  </si>
  <si>
    <t>proper</t>
  </si>
  <si>
    <t>length</t>
  </si>
  <si>
    <t>find</t>
  </si>
  <si>
    <t>search</t>
  </si>
  <si>
    <t>replace</t>
  </si>
  <si>
    <t>substitude</t>
  </si>
  <si>
    <t>Mr.</t>
  </si>
  <si>
    <t>Miss.</t>
  </si>
  <si>
    <t>Janine</t>
  </si>
  <si>
    <t>Diego</t>
  </si>
  <si>
    <t>Jytte</t>
  </si>
  <si>
    <t>Jurie</t>
  </si>
  <si>
    <t>Isabel</t>
  </si>
  <si>
    <t>Conditions( IF, AND, OR)</t>
  </si>
  <si>
    <t>E_ID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</si>
  <si>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</si>
  <si>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</si>
  <si>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</si>
  <si>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</si>
  <si>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</si>
  <si>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</si>
  <si>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</si>
  <si>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Annual_Salary</t>
  </si>
  <si>
    <t>Bonus %</t>
  </si>
  <si>
    <t>Country</t>
  </si>
  <si>
    <t>Conditions</t>
  </si>
  <si>
    <t>IF</t>
  </si>
  <si>
    <t>AND</t>
  </si>
  <si>
    <t>OR</t>
  </si>
  <si>
    <t>E02002</t>
  </si>
  <si>
    <t>Kai Le</t>
  </si>
  <si>
    <t>Controls Engineer</t>
  </si>
  <si>
    <t>Engineering</t>
  </si>
  <si>
    <t>Manufacturing</t>
  </si>
  <si>
    <t>Male</t>
  </si>
  <si>
    <t>Asian</t>
  </si>
  <si>
    <t>United States</t>
  </si>
  <si>
    <t>Columbus</t>
  </si>
  <si>
    <t>E02003</t>
  </si>
  <si>
    <t>Robert Patel</t>
  </si>
  <si>
    <t>Analyst</t>
  </si>
  <si>
    <t>Sales</t>
  </si>
  <si>
    <t>Corporate</t>
  </si>
  <si>
    <t>10/23/2013</t>
  </si>
  <si>
    <t>Chicago</t>
  </si>
  <si>
    <t>E02004</t>
  </si>
  <si>
    <t>Cameron Lo</t>
  </si>
  <si>
    <t>Network Administrator</t>
  </si>
  <si>
    <t>IT</t>
  </si>
  <si>
    <t>Research &amp; Development</t>
  </si>
  <si>
    <t>3/24/2019</t>
  </si>
  <si>
    <t>China</t>
  </si>
  <si>
    <t>Shanghai</t>
  </si>
  <si>
    <t>E02005</t>
  </si>
  <si>
    <t>Harper Castillo</t>
  </si>
  <si>
    <t>IT Systems Architect</t>
  </si>
  <si>
    <t>Female</t>
  </si>
  <si>
    <t>Latino</t>
  </si>
  <si>
    <t>Seattle</t>
  </si>
  <si>
    <t>E02006</t>
  </si>
  <si>
    <t>Harper Dominguez</t>
  </si>
  <si>
    <t>Director</t>
  </si>
  <si>
    <t>6/18/2005</t>
  </si>
  <si>
    <t>Austin</t>
  </si>
  <si>
    <t>E02007</t>
  </si>
  <si>
    <t>Ezra Vu</t>
  </si>
  <si>
    <t>4/22/2004</t>
  </si>
  <si>
    <t>Phoenix</t>
  </si>
  <si>
    <t>E02008</t>
  </si>
  <si>
    <t>Jade Hu</t>
  </si>
  <si>
    <t>Sr. Analyst</t>
  </si>
  <si>
    <t>Accounting</t>
  </si>
  <si>
    <t>Specialty Products</t>
  </si>
  <si>
    <t>6/27/2009</t>
  </si>
  <si>
    <t>Chongqing</t>
  </si>
  <si>
    <t>E02009</t>
  </si>
  <si>
    <t>Miles Chang</t>
  </si>
  <si>
    <t>Analyst II</t>
  </si>
  <si>
    <t>Finance</t>
  </si>
  <si>
    <t>2/19/1999</t>
  </si>
  <si>
    <t>Chengdu</t>
  </si>
  <si>
    <t>E02010</t>
  </si>
  <si>
    <t>Gianna Holmes</t>
  </si>
  <si>
    <t>System Administrator </t>
  </si>
  <si>
    <t>Caucasian</t>
  </si>
  <si>
    <t>E02011</t>
  </si>
  <si>
    <t>Jameson Thomas</t>
  </si>
  <si>
    <t>Manager</t>
  </si>
  <si>
    <t>Miami</t>
  </si>
  <si>
    <t>E02012</t>
  </si>
  <si>
    <t>Jameson Pena</t>
  </si>
  <si>
    <t>Systems Analyst</t>
  </si>
  <si>
    <t>E02013</t>
  </si>
  <si>
    <t>Bella Wu</t>
  </si>
  <si>
    <t>E02014</t>
  </si>
  <si>
    <t>Jose Wong</t>
  </si>
  <si>
    <t>11/15/2017</t>
  </si>
  <si>
    <t>E02015</t>
  </si>
  <si>
    <t>Lucas Richardson</t>
  </si>
  <si>
    <t>Marketing</t>
  </si>
  <si>
    <t>7/22/2018</t>
  </si>
  <si>
    <t>E02016</t>
  </si>
  <si>
    <t>Jacob Moore</t>
  </si>
  <si>
    <t>Sr. Manager</t>
  </si>
  <si>
    <t>Black</t>
  </si>
  <si>
    <t>3/24/2021</t>
  </si>
  <si>
    <t>E02017</t>
  </si>
  <si>
    <t>Luna Lu</t>
  </si>
  <si>
    <t>7/26/1997</t>
  </si>
  <si>
    <t>E02018</t>
  </si>
  <si>
    <t>Bella Tran</t>
  </si>
  <si>
    <t>Vice President</t>
  </si>
  <si>
    <t>E02019</t>
  </si>
  <si>
    <t>Ivy Chau</t>
  </si>
  <si>
    <t>E02020</t>
  </si>
  <si>
    <t>Jordan Kumar</t>
  </si>
  <si>
    <t>Service Desk Analyst</t>
  </si>
  <si>
    <t>E02021</t>
  </si>
  <si>
    <t>Sophia Gutierrez</t>
  </si>
  <si>
    <t>E02022</t>
  </si>
  <si>
    <t>Eli Dang</t>
  </si>
  <si>
    <t>11/16/2015</t>
  </si>
  <si>
    <t>E02023</t>
  </si>
  <si>
    <t>Lillian Lewis</t>
  </si>
  <si>
    <t>Technical Architect</t>
  </si>
  <si>
    <t>8/14/2013</t>
  </si>
  <si>
    <t>E02024</t>
  </si>
  <si>
    <t>Serenity Cao</t>
  </si>
  <si>
    <t>Account Representative</t>
  </si>
  <si>
    <t>10/21/2018</t>
  </si>
  <si>
    <t>E02025</t>
  </si>
  <si>
    <t>Parker Lai</t>
  </si>
  <si>
    <t>11/29/2006</t>
  </si>
  <si>
    <t>E02026</t>
  </si>
  <si>
    <t>Charles Simmons</t>
  </si>
  <si>
    <t>10/27/1997</t>
  </si>
  <si>
    <t>E02027</t>
  </si>
  <si>
    <t>Jayden Luu</t>
  </si>
  <si>
    <t>5/13/2004</t>
  </si>
  <si>
    <t>Beijing</t>
  </si>
  <si>
    <t>E02028</t>
  </si>
  <si>
    <t>Brooks Richardson</t>
  </si>
  <si>
    <t>11/24/2020</t>
  </si>
  <si>
    <t>E02029</t>
  </si>
  <si>
    <t>Ivy Thompson</t>
  </si>
  <si>
    <t>E02030</t>
  </si>
  <si>
    <t>Peyton Wright</t>
  </si>
  <si>
    <t>5/13/2017</t>
  </si>
  <si>
    <t>E02031</t>
  </si>
  <si>
    <t>Wyatt Dinh</t>
  </si>
  <si>
    <t>3/15/2002</t>
  </si>
  <si>
    <t>E02032</t>
  </si>
  <si>
    <t>Ruby Alexander</t>
  </si>
  <si>
    <t>8/13/2001</t>
  </si>
  <si>
    <t>E02033</t>
  </si>
  <si>
    <t>Axel Oh</t>
  </si>
  <si>
    <t>10/24/2020</t>
  </si>
  <si>
    <t>E02034</t>
  </si>
  <si>
    <t>Axel Ramirez</t>
  </si>
  <si>
    <t>Human Resources</t>
  </si>
  <si>
    <t>E02035</t>
  </si>
  <si>
    <t>Liliana Chang</t>
  </si>
  <si>
    <t>E02036</t>
  </si>
  <si>
    <t>Leonardo Carter</t>
  </si>
  <si>
    <t>Business Partner</t>
  </si>
  <si>
    <t>E02037</t>
  </si>
  <si>
    <t>Landon Gonzales</t>
  </si>
  <si>
    <t>Test Engineer</t>
  </si>
  <si>
    <t>8/30/2009</t>
  </si>
  <si>
    <t>E02038</t>
  </si>
  <si>
    <t>Amelia Dominguez</t>
  </si>
  <si>
    <t>9/23/2015</t>
  </si>
  <si>
    <t>Brazil</t>
  </si>
  <si>
    <t>Rio de Janeiro</t>
  </si>
  <si>
    <t>DATE AND TIME</t>
  </si>
  <si>
    <t>Today</t>
  </si>
  <si>
    <t xml:space="preserve">Now </t>
  </si>
  <si>
    <t>Day</t>
  </si>
  <si>
    <t>Month</t>
  </si>
  <si>
    <t>Year</t>
  </si>
  <si>
    <t>Hour</t>
  </si>
  <si>
    <t>Mins</t>
  </si>
  <si>
    <t>Secs</t>
  </si>
  <si>
    <t>Date+3 Days</t>
  </si>
  <si>
    <t>Date+3 Month</t>
  </si>
  <si>
    <t>SUM</t>
  </si>
  <si>
    <t>SUMIF</t>
  </si>
  <si>
    <t>COUNT</t>
  </si>
  <si>
    <t>COUNTIF</t>
  </si>
  <si>
    <t>COUNTIFS</t>
  </si>
  <si>
    <t>SUMIFS</t>
  </si>
  <si>
    <t>Exit Date</t>
  </si>
  <si>
    <t/>
  </si>
  <si>
    <t>2/14/2014</t>
  </si>
  <si>
    <t>3/31/2019</t>
  </si>
  <si>
    <t>7/27/2018</t>
  </si>
  <si>
    <t>E02039</t>
  </si>
  <si>
    <t>Silas Ross</t>
  </si>
  <si>
    <t>E02040</t>
  </si>
  <si>
    <t>Jeremiah Cheng</t>
  </si>
  <si>
    <t>E02041</t>
  </si>
  <si>
    <t>Chloe Chin</t>
  </si>
  <si>
    <t>11/13/2021</t>
  </si>
  <si>
    <t>E02042</t>
  </si>
  <si>
    <t>Ella Martinez</t>
  </si>
  <si>
    <t>E02043</t>
  </si>
  <si>
    <t>Gianna Jones</t>
  </si>
  <si>
    <t>9/26/1998</t>
  </si>
  <si>
    <t>E02044</t>
  </si>
  <si>
    <t>Austin Chow</t>
  </si>
  <si>
    <t>E02045</t>
  </si>
  <si>
    <t>Ella Chen</t>
  </si>
  <si>
    <t>E02046</t>
  </si>
  <si>
    <t>Ruby Kaur</t>
  </si>
  <si>
    <t>6/26/2021</t>
  </si>
  <si>
    <t>E02047</t>
  </si>
  <si>
    <t>Savannah Morales</t>
  </si>
  <si>
    <t>1/26/2005</t>
  </si>
  <si>
    <t>E02048</t>
  </si>
  <si>
    <t>Luca Powell</t>
  </si>
  <si>
    <t>IT Coordinator</t>
  </si>
  <si>
    <t>12/18/2016</t>
  </si>
  <si>
    <t>E02049</t>
  </si>
  <si>
    <t>Parker Thao</t>
  </si>
  <si>
    <t>E02050</t>
  </si>
  <si>
    <t>Ryan Vo</t>
  </si>
  <si>
    <t>Cloud Infrastructure Architect</t>
  </si>
  <si>
    <t>E02051</t>
  </si>
  <si>
    <t>Isabella Ngo</t>
  </si>
  <si>
    <t>E02052</t>
  </si>
  <si>
    <t>Leah Vega</t>
  </si>
  <si>
    <t>E02053</t>
  </si>
  <si>
    <t>Jaxson Liu</t>
  </si>
  <si>
    <t>5/18/2021</t>
  </si>
  <si>
    <t>E02054</t>
  </si>
  <si>
    <t>Santiago f Ross</t>
  </si>
  <si>
    <t>Enterprise Architect</t>
  </si>
  <si>
    <t>12/13/2012</t>
  </si>
  <si>
    <t>E02055</t>
  </si>
  <si>
    <t>Layla Bell</t>
  </si>
  <si>
    <t>7/26/2001</t>
  </si>
  <si>
    <t>E02056</t>
  </si>
  <si>
    <t>Bella Morales</t>
  </si>
  <si>
    <t>E02057</t>
  </si>
  <si>
    <t>Eliza Kang</t>
  </si>
  <si>
    <t>Computer Systems Manager</t>
  </si>
  <si>
    <t>1/27/2002</t>
  </si>
  <si>
    <t>E02058</t>
  </si>
  <si>
    <t>Gabriel Reyes</t>
  </si>
  <si>
    <t>Sao Paulo</t>
  </si>
  <si>
    <t>E02059</t>
  </si>
  <si>
    <t>Piper Garcia</t>
  </si>
  <si>
    <t>11/24/1993</t>
  </si>
  <si>
    <t>E02060</t>
  </si>
  <si>
    <t>Jacob Cheng</t>
  </si>
  <si>
    <t>11/26/1999</t>
  </si>
  <si>
    <t>11/27/2003</t>
  </si>
  <si>
    <t>E02061</t>
  </si>
  <si>
    <t>Nathan Hong</t>
  </si>
  <si>
    <t>E02062</t>
  </si>
  <si>
    <t>Chloe Kim</t>
  </si>
  <si>
    <t>E02063</t>
  </si>
  <si>
    <t>Isaac Guzman</t>
  </si>
  <si>
    <t>8/18/2010</t>
  </si>
  <si>
    <t>E02064</t>
  </si>
  <si>
    <t>Julian Ford</t>
  </si>
  <si>
    <t>7/29/2010</t>
  </si>
  <si>
    <t>E02065</t>
  </si>
  <si>
    <t>Kinsley Liang</t>
  </si>
  <si>
    <t>Automation Engineer</t>
  </si>
  <si>
    <t>8/25/2008</t>
  </si>
  <si>
    <t>E02066</t>
  </si>
  <si>
    <t>Wesley Yu</t>
  </si>
  <si>
    <t>9/24/2003</t>
  </si>
  <si>
    <t>E02067</t>
  </si>
  <si>
    <t>Serenity Martin</t>
  </si>
  <si>
    <t>5/16/2021</t>
  </si>
  <si>
    <t>E02068</t>
  </si>
  <si>
    <t>Ethan Sanchez</t>
  </si>
  <si>
    <t>5/15/2019</t>
  </si>
  <si>
    <t>E02069</t>
  </si>
  <si>
    <t>David Sanchez</t>
  </si>
  <si>
    <t>E02070</t>
  </si>
  <si>
    <t>Elias Hsu</t>
  </si>
  <si>
    <t>1/23/2022</t>
  </si>
  <si>
    <t>E02071</t>
  </si>
  <si>
    <t>Luca Phan</t>
  </si>
  <si>
    <t>6/17/2015</t>
  </si>
  <si>
    <t>E02072</t>
  </si>
  <si>
    <t>Olivia Xi</t>
  </si>
  <si>
    <t>8/19/2020</t>
  </si>
  <si>
    <t>E02073</t>
  </si>
  <si>
    <t>Alice Luu</t>
  </si>
  <si>
    <t>7/17/1993</t>
  </si>
  <si>
    <t>E02074</t>
  </si>
  <si>
    <t>Leonardo Ng</t>
  </si>
  <si>
    <t>E02075</t>
  </si>
  <si>
    <t>Peyton Edwards</t>
  </si>
  <si>
    <t>E02076</t>
  </si>
  <si>
    <t>Axel Patel</t>
  </si>
  <si>
    <t>9/13/2022</t>
  </si>
  <si>
    <t>E02077</t>
  </si>
  <si>
    <t>Eva Chavez</t>
  </si>
  <si>
    <t>1/17/2004</t>
  </si>
  <si>
    <t>E02078</t>
  </si>
  <si>
    <t>Savannah Lee</t>
  </si>
  <si>
    <t>7/22/2020</t>
  </si>
  <si>
    <t>E02079</t>
  </si>
  <si>
    <t>Mia Grant</t>
  </si>
  <si>
    <t>Solutions Architect</t>
  </si>
  <si>
    <t>2/16/2007</t>
  </si>
  <si>
    <t>E02080</t>
  </si>
  <si>
    <t>Eli Richardson</t>
  </si>
  <si>
    <t>E02081</t>
  </si>
  <si>
    <t>Eloise Perry</t>
  </si>
  <si>
    <t>Sr. Business Partner</t>
  </si>
  <si>
    <t>E02082</t>
  </si>
  <si>
    <t>Ian Cheng</t>
  </si>
  <si>
    <t>8/30/2015</t>
  </si>
  <si>
    <t>E02083</t>
  </si>
  <si>
    <t>Penelope Chan</t>
  </si>
  <si>
    <t>5/20/2012</t>
  </si>
  <si>
    <t>11/21/2019</t>
  </si>
  <si>
    <t>E02084</t>
  </si>
  <si>
    <t>Sofia Vasquez</t>
  </si>
  <si>
    <t>7/29/1996</t>
  </si>
  <si>
    <t>E02085</t>
  </si>
  <si>
    <t>Anthony Baker</t>
  </si>
  <si>
    <t>E02086</t>
  </si>
  <si>
    <t>Lucas Luong</t>
  </si>
  <si>
    <t>E02087</t>
  </si>
  <si>
    <t>Xavier Patel</t>
  </si>
  <si>
    <t>11/16/2021</t>
  </si>
  <si>
    <t>E02088</t>
  </si>
  <si>
    <t>Robert Soto</t>
  </si>
  <si>
    <t>HRIS Analyst</t>
  </si>
  <si>
    <t>E02089</t>
  </si>
  <si>
    <t>Nevaeh Jiang</t>
  </si>
  <si>
    <t>E02090</t>
  </si>
  <si>
    <t>Chloe Reyes</t>
  </si>
  <si>
    <t>6/18/2008</t>
  </si>
  <si>
    <t>E02091</t>
  </si>
  <si>
    <t>Lucy Edwards</t>
  </si>
  <si>
    <t>3/16/2015</t>
  </si>
  <si>
    <t>5/16/2022</t>
  </si>
  <si>
    <t>E02092</t>
  </si>
  <si>
    <t>Luna Edwards</t>
  </si>
  <si>
    <t>4/13/2014</t>
  </si>
  <si>
    <t>E02093</t>
  </si>
  <si>
    <t>Stella Daniels</t>
  </si>
  <si>
    <t>10/30/2011</t>
  </si>
  <si>
    <t>E02094</t>
  </si>
  <si>
    <t>Ayla Ma</t>
  </si>
  <si>
    <t>E02095</t>
  </si>
  <si>
    <t>Matthew Avila</t>
  </si>
  <si>
    <t>6/17/2003</t>
  </si>
  <si>
    <t>E02096</t>
  </si>
  <si>
    <t>Gianna Lim</t>
  </si>
  <si>
    <t>E02097</t>
  </si>
  <si>
    <t>Joseph Tan</t>
  </si>
  <si>
    <t>8/20/2015</t>
  </si>
  <si>
    <t>E02098</t>
  </si>
  <si>
    <t>Connor Lai</t>
  </si>
  <si>
    <t>Engineering Manager</t>
  </si>
  <si>
    <t>9/22/2019</t>
  </si>
  <si>
    <t>E02099</t>
  </si>
  <si>
    <t>Ava Owens</t>
  </si>
  <si>
    <t>E02100</t>
  </si>
  <si>
    <t>Dylan Aguilar</t>
  </si>
  <si>
    <t>3/27/2007</t>
  </si>
  <si>
    <t>E02101</t>
  </si>
  <si>
    <t>Leah Zheng</t>
  </si>
  <si>
    <t>6/18/2016</t>
  </si>
  <si>
    <t>E02102</t>
  </si>
  <si>
    <t>Jade Pham</t>
  </si>
  <si>
    <t>E02103</t>
  </si>
  <si>
    <t>Theodore Bui</t>
  </si>
  <si>
    <t>5/13/2012</t>
  </si>
  <si>
    <t>E02104</t>
  </si>
  <si>
    <t>Asher Chan</t>
  </si>
  <si>
    <t>8/18/2018</t>
  </si>
  <si>
    <t>E02105</t>
  </si>
  <si>
    <t>Ezekiel Brown</t>
  </si>
  <si>
    <t>3/14/2022</t>
  </si>
  <si>
    <t>7/17/2022</t>
  </si>
  <si>
    <t>E02106</t>
  </si>
  <si>
    <t>Peyton Allen</t>
  </si>
  <si>
    <t>11/23/2020</t>
  </si>
  <si>
    <t>E02107</t>
  </si>
  <si>
    <t>Parker Joseph</t>
  </si>
  <si>
    <t>1/21/2000</t>
  </si>
  <si>
    <t>E02108</t>
  </si>
  <si>
    <t>Kayden Ortiz</t>
  </si>
  <si>
    <t>7/29/2013</t>
  </si>
  <si>
    <t>Manaus</t>
  </si>
  <si>
    <t>E02109</t>
  </si>
  <si>
    <t>Lillian Desai</t>
  </si>
  <si>
    <t>Field Engineer</t>
  </si>
  <si>
    <t>E02110</t>
  </si>
  <si>
    <t>Avery Gutierrez</t>
  </si>
  <si>
    <t>E02111</t>
  </si>
  <si>
    <t>Caroline Sandoval</t>
  </si>
  <si>
    <t>E02112</t>
  </si>
  <si>
    <t>Hailey Lim</t>
  </si>
  <si>
    <t>E02113</t>
  </si>
  <si>
    <t>Roman Liang</t>
  </si>
  <si>
    <t>E02114</t>
  </si>
  <si>
    <t>Elias Rojas</t>
  </si>
  <si>
    <t>E02115</t>
  </si>
  <si>
    <t>Quinn Lai</t>
  </si>
  <si>
    <t>8/28/2003</t>
  </si>
  <si>
    <t>E02116</t>
  </si>
  <si>
    <t>Clara Le</t>
  </si>
  <si>
    <t>3/15/2021</t>
  </si>
  <si>
    <t>E02117</t>
  </si>
  <si>
    <t>Chloe Yoon</t>
  </si>
  <si>
    <t>2/25/2002</t>
  </si>
  <si>
    <t>E02118</t>
  </si>
  <si>
    <t>Abigail Simmons</t>
  </si>
  <si>
    <t>4/24/2018</t>
  </si>
  <si>
    <t>E02119</t>
  </si>
  <si>
    <t>Ayla Espinoza</t>
  </si>
  <si>
    <t>E02120</t>
  </si>
  <si>
    <t>Nova Lin</t>
  </si>
  <si>
    <t>E02121</t>
  </si>
  <si>
    <t>Sadie Singh</t>
  </si>
  <si>
    <t>3/16/2022</t>
  </si>
  <si>
    <t>E02122</t>
  </si>
  <si>
    <t>Aaron Powell</t>
  </si>
  <si>
    <t>E02123</t>
  </si>
  <si>
    <t>Jameson Vargas</t>
  </si>
  <si>
    <t>7/24/2011</t>
  </si>
  <si>
    <t>E02124</t>
  </si>
  <si>
    <t>Logan Young</t>
  </si>
  <si>
    <t>8/16/2010</t>
  </si>
  <si>
    <t>E02125</t>
  </si>
  <si>
    <t>Wyatt Cheung</t>
  </si>
  <si>
    <t>7/25/2013</t>
  </si>
  <si>
    <t>E02126</t>
  </si>
  <si>
    <t>Lucas Zhu</t>
  </si>
  <si>
    <t>3/14/2011</t>
  </si>
  <si>
    <t>E02127</t>
  </si>
  <si>
    <t>Emily Hong</t>
  </si>
  <si>
    <t>E02128</t>
  </si>
  <si>
    <t>Luke Ramos</t>
  </si>
  <si>
    <t>7/28/2018</t>
  </si>
  <si>
    <t>E02129</t>
  </si>
  <si>
    <t>Maya Gupta</t>
  </si>
  <si>
    <t>E02130</t>
  </si>
  <si>
    <t>Eliana Ha</t>
  </si>
  <si>
    <t>12/15/2020</t>
  </si>
  <si>
    <t>E02131</t>
  </si>
  <si>
    <t>Lillian Cheng</t>
  </si>
  <si>
    <t>8/20/1996</t>
  </si>
  <si>
    <t>E02132</t>
  </si>
  <si>
    <t>Alexander Pena</t>
  </si>
  <si>
    <t>5/24/2002</t>
  </si>
  <si>
    <t>E02133</t>
  </si>
  <si>
    <t>Leonardo Mai</t>
  </si>
  <si>
    <t>1/28/2007</t>
  </si>
  <si>
    <t>E02134</t>
  </si>
  <si>
    <t>Jack Phillips</t>
  </si>
  <si>
    <t>7/27/2015</t>
  </si>
  <si>
    <t>E02135</t>
  </si>
  <si>
    <t>Scarlett Delgado</t>
  </si>
  <si>
    <t>8/28/2013</t>
  </si>
  <si>
    <t>E02136</t>
  </si>
  <si>
    <t>Jack Rogers</t>
  </si>
  <si>
    <t>E02137</t>
  </si>
  <si>
    <t>Violet Huynh</t>
  </si>
  <si>
    <t>2/29/2008</t>
  </si>
  <si>
    <t>E02138</t>
  </si>
  <si>
    <t>Victoria Park</t>
  </si>
  <si>
    <t>3/18/2020</t>
  </si>
  <si>
    <t>E02139</t>
  </si>
  <si>
    <t>Elizabeth Rodriguez</t>
  </si>
  <si>
    <t>8/13/2021</t>
  </si>
  <si>
    <t>E02140</t>
  </si>
  <si>
    <t>Samuel Kumar</t>
  </si>
  <si>
    <t>Network Engineer</t>
  </si>
  <si>
    <t>E02141</t>
  </si>
  <si>
    <t>Zoe Maldonado</t>
  </si>
  <si>
    <t>9/25/1998</t>
  </si>
  <si>
    <t>E02142</t>
  </si>
  <si>
    <t>Natalia Richardson</t>
  </si>
  <si>
    <t>E02143</t>
  </si>
  <si>
    <t>Madeline Contreras</t>
  </si>
  <si>
    <t>10/31/1995</t>
  </si>
  <si>
    <t>E02144</t>
  </si>
  <si>
    <t>Raelynn Espinoza</t>
  </si>
  <si>
    <t>E02145</t>
  </si>
  <si>
    <t>Noah Rojas</t>
  </si>
  <si>
    <t>11/14/2019</t>
  </si>
  <si>
    <t>E02146</t>
  </si>
  <si>
    <t>Jack Ramos</t>
  </si>
  <si>
    <t>6/17/2018</t>
  </si>
  <si>
    <t>E02147</t>
  </si>
  <si>
    <t>Riley King</t>
  </si>
  <si>
    <t>E02148</t>
  </si>
  <si>
    <t>Naomi Lee</t>
  </si>
  <si>
    <t>4/15/2014</t>
  </si>
  <si>
    <t>E02149</t>
  </si>
  <si>
    <t>Caleb Jones</t>
  </si>
  <si>
    <t>E02150</t>
  </si>
  <si>
    <t>Peyton Alvarado</t>
  </si>
  <si>
    <t>10/24/2015</t>
  </si>
  <si>
    <t>E02151</t>
  </si>
  <si>
    <t>Luca Liu</t>
  </si>
  <si>
    <t>6/22/2007</t>
  </si>
  <si>
    <t>E02152</t>
  </si>
  <si>
    <t>Christian Johnson</t>
  </si>
  <si>
    <t>Network Architect</t>
  </si>
  <si>
    <t>5/25/2008</t>
  </si>
  <si>
    <t>E02153</t>
  </si>
  <si>
    <t>Kinsley Gonzales</t>
  </si>
  <si>
    <t>E02154</t>
  </si>
  <si>
    <t>Hunter Yoon</t>
  </si>
  <si>
    <t>E02155</t>
  </si>
  <si>
    <t>Elias Dixon</t>
  </si>
  <si>
    <t>11/22/2021</t>
  </si>
  <si>
    <t>E02156</t>
  </si>
  <si>
    <t>Owen Guerrero</t>
  </si>
  <si>
    <t>E02157</t>
  </si>
  <si>
    <t>Lucas Lo</t>
  </si>
  <si>
    <t>1/18/2004</t>
  </si>
  <si>
    <t>E02158</t>
  </si>
  <si>
    <t>Hunter Mitchell</t>
  </si>
  <si>
    <t>4/17/2021</t>
  </si>
  <si>
    <t>E02159</t>
  </si>
  <si>
    <t>Eliana Bailey</t>
  </si>
  <si>
    <t>E02160</t>
  </si>
  <si>
    <t>Gabriella Choi</t>
  </si>
  <si>
    <t>8/15/1999</t>
  </si>
  <si>
    <t>E02161</t>
  </si>
  <si>
    <t>Evelyn Alvarado</t>
  </si>
  <si>
    <t>E02162</t>
  </si>
  <si>
    <t>Wyatt Chan</t>
  </si>
  <si>
    <t>6/28/2005</t>
  </si>
  <si>
    <t>E02163</t>
  </si>
  <si>
    <t>Sarah Johnson</t>
  </si>
  <si>
    <t>E02164</t>
  </si>
  <si>
    <t>Brooks Evans</t>
  </si>
  <si>
    <t>Sr. Account Representative</t>
  </si>
  <si>
    <t>E02165</t>
  </si>
  <si>
    <t>Isaiah Dixon</t>
  </si>
  <si>
    <t>Development Engineer</t>
  </si>
  <si>
    <t>2/27/2022</t>
  </si>
  <si>
    <t>E02166</t>
  </si>
  <si>
    <t>Addison Lo</t>
  </si>
  <si>
    <t>8/28/2020</t>
  </si>
  <si>
    <t>E02167</t>
  </si>
  <si>
    <t>Nolan Howard</t>
  </si>
  <si>
    <t>Quality Engineer</t>
  </si>
  <si>
    <t>4/18/2022</t>
  </si>
  <si>
    <t>6/23/2022</t>
  </si>
  <si>
    <t>E02168</t>
  </si>
  <si>
    <t>Paisley Dominguez</t>
  </si>
  <si>
    <t>6/14/2009</t>
  </si>
  <si>
    <t>E02169</t>
  </si>
  <si>
    <t>Eliana Ho</t>
  </si>
  <si>
    <t>E02170</t>
  </si>
  <si>
    <t>Charles Miller</t>
  </si>
  <si>
    <t>E02171</t>
  </si>
  <si>
    <t>Mia Jiang</t>
  </si>
  <si>
    <t>6/19/2015</t>
  </si>
  <si>
    <t>E02172</t>
  </si>
  <si>
    <t>Skylar Parker</t>
  </si>
  <si>
    <t>E02173</t>
  </si>
  <si>
    <t>Zoey Leung</t>
  </si>
  <si>
    <t>9/27/2007</t>
  </si>
  <si>
    <t>E02174</t>
  </si>
  <si>
    <t>Austin Moua</t>
  </si>
  <si>
    <t>5/27/2003</t>
  </si>
  <si>
    <t>E02175</t>
  </si>
  <si>
    <t>Christopher Robinson</t>
  </si>
  <si>
    <t>10/17/2022</t>
  </si>
  <si>
    <t>E02176</t>
  </si>
  <si>
    <t>Jayden Zhang</t>
  </si>
  <si>
    <t>6/27/1994</t>
  </si>
  <si>
    <t>E02177</t>
  </si>
  <si>
    <t>Cora Mejia</t>
  </si>
  <si>
    <t>E02178</t>
  </si>
  <si>
    <t>Julian Harris</t>
  </si>
  <si>
    <t>Operations Engineer</t>
  </si>
  <si>
    <t>12/30/2015</t>
  </si>
  <si>
    <t>E02179</t>
  </si>
  <si>
    <t>Anthony Espinoza</t>
  </si>
  <si>
    <t>11/16/2020</t>
  </si>
  <si>
    <t>E02180</t>
  </si>
  <si>
    <t>Aubrey Ruiz</t>
  </si>
  <si>
    <t>E02181</t>
  </si>
  <si>
    <t>Piper Tang</t>
  </si>
  <si>
    <t>7/28/2011</t>
  </si>
  <si>
    <t>E02182</t>
  </si>
  <si>
    <t>Colton Delgado</t>
  </si>
  <si>
    <t>10/22/2006</t>
  </si>
  <si>
    <t>E02183</t>
  </si>
  <si>
    <t>Madeline Chung</t>
  </si>
  <si>
    <t>5/26/2011</t>
  </si>
  <si>
    <t>E02184</t>
  </si>
  <si>
    <t>Ariana Sharma</t>
  </si>
  <si>
    <t>1/24/2014</t>
  </si>
  <si>
    <t>6/29/2022</t>
  </si>
  <si>
    <t>E02185</t>
  </si>
  <si>
    <t>Julian Marquez</t>
  </si>
  <si>
    <t>9/14/2013</t>
  </si>
  <si>
    <t>E02186</t>
  </si>
  <si>
    <t>Logan Reyes</t>
  </si>
  <si>
    <t>3/19/2020</t>
  </si>
  <si>
    <t>E02187</t>
  </si>
  <si>
    <t>Penelope Mai</t>
  </si>
  <si>
    <t>E02188</t>
  </si>
  <si>
    <t>Ryan Reed</t>
  </si>
  <si>
    <t>10/28/2019</t>
  </si>
  <si>
    <t>E02189</t>
  </si>
  <si>
    <t>Grayson Hwang</t>
  </si>
  <si>
    <t>4/23/2013</t>
  </si>
  <si>
    <t>E02190</t>
  </si>
  <si>
    <t>Ezra Tan</t>
  </si>
  <si>
    <t>12/22/1999</t>
  </si>
  <si>
    <t>E02191</t>
  </si>
  <si>
    <t>David Ha</t>
  </si>
  <si>
    <t>7/27/2022</t>
  </si>
  <si>
    <t>E02192</t>
  </si>
  <si>
    <t>Lillian Vang</t>
  </si>
  <si>
    <t>9/13/2015</t>
  </si>
  <si>
    <t>E02193</t>
  </si>
  <si>
    <t>Sofia Zhang</t>
  </si>
  <si>
    <t>E02194</t>
  </si>
  <si>
    <t>Athena Daniels</t>
  </si>
  <si>
    <t>5/23/2021</t>
  </si>
  <si>
    <t>E02195</t>
  </si>
  <si>
    <t>Jameson Shin</t>
  </si>
  <si>
    <t>5/14/2020</t>
  </si>
  <si>
    <t>E02196</t>
  </si>
  <si>
    <t>Everly Avila</t>
  </si>
  <si>
    <t>11/13/2015</t>
  </si>
  <si>
    <t>E02197</t>
  </si>
  <si>
    <t>Liam Nelson</t>
  </si>
  <si>
    <t>12/17/2010</t>
  </si>
  <si>
    <t>E02198</t>
  </si>
  <si>
    <t>Theodore Lai</t>
  </si>
  <si>
    <t>12/27/2008</t>
  </si>
  <si>
    <t>E02199</t>
  </si>
  <si>
    <t>Caroline Do</t>
  </si>
  <si>
    <t>E02200</t>
  </si>
  <si>
    <t>Josiah Ramos</t>
  </si>
  <si>
    <t>E02201</t>
  </si>
  <si>
    <t>Colton Alexander</t>
  </si>
  <si>
    <t>E02202</t>
  </si>
  <si>
    <t>Charles Ramos</t>
  </si>
  <si>
    <t>1/30/2016</t>
  </si>
  <si>
    <t>E02203</t>
  </si>
  <si>
    <t>Ellie Wilson</t>
  </si>
  <si>
    <t>8/31/1996</t>
  </si>
  <si>
    <t>E02204</t>
  </si>
  <si>
    <t>Peyton Powell</t>
  </si>
  <si>
    <t>2/16/2003</t>
  </si>
  <si>
    <t>E02205</t>
  </si>
  <si>
    <t>Hailey Rojas</t>
  </si>
  <si>
    <t>7/15/2014</t>
  </si>
  <si>
    <t>E02206</t>
  </si>
  <si>
    <t>Kai Singh</t>
  </si>
  <si>
    <t>4/19/2001</t>
  </si>
  <si>
    <t>E02207</t>
  </si>
  <si>
    <t>Ryan Rivera</t>
  </si>
  <si>
    <t>11/29/2001</t>
  </si>
  <si>
    <t>E02208</t>
  </si>
  <si>
    <t>Everett Lu</t>
  </si>
  <si>
    <t>11/28/2021</t>
  </si>
  <si>
    <t>E02209</t>
  </si>
  <si>
    <t>Layla Nunez</t>
  </si>
  <si>
    <t>E02210</t>
  </si>
  <si>
    <t>Liliana Collins</t>
  </si>
  <si>
    <t>1/18/2013</t>
  </si>
  <si>
    <t>6/30/2018</t>
  </si>
  <si>
    <t>E02211</t>
  </si>
  <si>
    <t>Ezekiel Jenkins</t>
  </si>
  <si>
    <t>E02212</t>
  </si>
  <si>
    <t>Christopher Wang</t>
  </si>
  <si>
    <t>8/23/2020</t>
  </si>
  <si>
    <t>E02213</t>
  </si>
  <si>
    <t>Savannah Rodriguez</t>
  </si>
  <si>
    <t>11/18/2022</t>
  </si>
  <si>
    <t>E02214</t>
  </si>
  <si>
    <t>Lyla Turner</t>
  </si>
  <si>
    <t>E02215</t>
  </si>
  <si>
    <t>Adrian Ngo</t>
  </si>
  <si>
    <t>9/19/2021</t>
  </si>
  <si>
    <t>E02216</t>
  </si>
  <si>
    <t>Aria Juarez</t>
  </si>
  <si>
    <t>7/30/2011</t>
  </si>
  <si>
    <t>E02217</t>
  </si>
  <si>
    <t>Audrey Ramos</t>
  </si>
  <si>
    <t>E02218</t>
  </si>
  <si>
    <t>Hazel Cho</t>
  </si>
  <si>
    <t>E02219</t>
  </si>
  <si>
    <t>Iris Chung</t>
  </si>
  <si>
    <t>9/17/2021</t>
  </si>
  <si>
    <t>E02220</t>
  </si>
  <si>
    <t>Thomas Rodriguez</t>
  </si>
  <si>
    <t>9/29/2022</t>
  </si>
  <si>
    <t>E02221</t>
  </si>
  <si>
    <t>Avery Lo</t>
  </si>
  <si>
    <t>1/26/2001</t>
  </si>
  <si>
    <t>E02222</t>
  </si>
  <si>
    <t>Gabriel Bell</t>
  </si>
  <si>
    <t>3/21/2021</t>
  </si>
  <si>
    <t>E02223</t>
  </si>
  <si>
    <t>Gianna Walker</t>
  </si>
  <si>
    <t>3/23/2021</t>
  </si>
  <si>
    <t>E02224</t>
  </si>
  <si>
    <t>Axel Bailey</t>
  </si>
  <si>
    <t>E02225</t>
  </si>
  <si>
    <t>Scarlett Green</t>
  </si>
  <si>
    <t>4/21/2020</t>
  </si>
  <si>
    <t>E02226</t>
  </si>
  <si>
    <t>Jackson Wong</t>
  </si>
  <si>
    <t>12/26/2006</t>
  </si>
  <si>
    <t>E02227</t>
  </si>
  <si>
    <t>Eva Jimenez</t>
  </si>
  <si>
    <t>4/13/1998</t>
  </si>
  <si>
    <t>E02228</t>
  </si>
  <si>
    <t>Ian Ma</t>
  </si>
  <si>
    <t>E02229</t>
  </si>
  <si>
    <t>Luna Castro</t>
  </si>
  <si>
    <t>E02230</t>
  </si>
  <si>
    <t>Nolan Brooks</t>
  </si>
  <si>
    <t>8/27/2019</t>
  </si>
  <si>
    <t>E02231</t>
  </si>
  <si>
    <t>Jayden Jones</t>
  </si>
  <si>
    <t>E02232</t>
  </si>
  <si>
    <t>Asher Hsu</t>
  </si>
  <si>
    <t>3/13/2020</t>
  </si>
  <si>
    <t>E02233</t>
  </si>
  <si>
    <t>Greyson Lim</t>
  </si>
  <si>
    <t>E02234</t>
  </si>
  <si>
    <t>Chloe Miller</t>
  </si>
  <si>
    <t>E02235</t>
  </si>
  <si>
    <t>Jaxson Brooks</t>
  </si>
  <si>
    <t>7/15/2022</t>
  </si>
  <si>
    <t>E02236</t>
  </si>
  <si>
    <t>Jack Perez</t>
  </si>
  <si>
    <t>E02237</t>
  </si>
  <si>
    <t>Ruby Reed</t>
  </si>
  <si>
    <t>E02238</t>
  </si>
  <si>
    <t>Ivy Rojas</t>
  </si>
  <si>
    <t>E02239</t>
  </si>
  <si>
    <t>Hudson Wong</t>
  </si>
  <si>
    <t>E02240</t>
  </si>
  <si>
    <t>Ryan Yi</t>
  </si>
  <si>
    <t>8/17/2003</t>
  </si>
  <si>
    <t>E02241</t>
  </si>
  <si>
    <t>Carter Simmons</t>
  </si>
  <si>
    <t>5/30/2012</t>
  </si>
  <si>
    <t>E02242</t>
  </si>
  <si>
    <t>Emilia Xu</t>
  </si>
  <si>
    <t>1/24/2017</t>
  </si>
  <si>
    <t>E02243</t>
  </si>
  <si>
    <t>Adam Medina</t>
  </si>
  <si>
    <t>E02244</t>
  </si>
  <si>
    <t>Connor Howard</t>
  </si>
  <si>
    <t>6/27/2022</t>
  </si>
  <si>
    <t>E02245</t>
  </si>
  <si>
    <t>Audrey Duong</t>
  </si>
  <si>
    <t>E02246</t>
  </si>
  <si>
    <t>Landon Reyes</t>
  </si>
  <si>
    <t>8/23/2014</t>
  </si>
  <si>
    <t>E02247</t>
  </si>
  <si>
    <t>Noah Ma</t>
  </si>
  <si>
    <t>E02248</t>
  </si>
  <si>
    <t>Lucas Alexander</t>
  </si>
  <si>
    <t>9/20/2013</t>
  </si>
  <si>
    <t>E02249</t>
  </si>
  <si>
    <t>Henry Vo</t>
  </si>
  <si>
    <t>9/13/1996</t>
  </si>
  <si>
    <t>E02250</t>
  </si>
  <si>
    <t>Mila Han</t>
  </si>
  <si>
    <t>11/14/2009</t>
  </si>
  <si>
    <t>E02251</t>
  </si>
  <si>
    <t>Genesis Herrera</t>
  </si>
  <si>
    <t>E02252</t>
  </si>
  <si>
    <t>Olivia Vazquez</t>
  </si>
  <si>
    <t>4/13/2020</t>
  </si>
  <si>
    <t>E02253</t>
  </si>
  <si>
    <t>Leilani Ng</t>
  </si>
  <si>
    <t>9/19/2011</t>
  </si>
  <si>
    <t>10/30/2019</t>
  </si>
  <si>
    <t>E02254</t>
  </si>
  <si>
    <t>Olivia Mendoza</t>
  </si>
  <si>
    <t>E02255</t>
  </si>
  <si>
    <t>Skylar Xu</t>
  </si>
  <si>
    <t>10/16/1997</t>
  </si>
  <si>
    <t>E02256</t>
  </si>
  <si>
    <t>Eloise Williams</t>
  </si>
  <si>
    <t>E02257</t>
  </si>
  <si>
    <t>Jackson Maldonado</t>
  </si>
  <si>
    <t>E02258</t>
  </si>
  <si>
    <t>Christian Harris</t>
  </si>
  <si>
    <t>2/21/1999</t>
  </si>
  <si>
    <t>E02259</t>
  </si>
  <si>
    <t>Penelope Santos</t>
  </si>
  <si>
    <t>E02260</t>
  </si>
  <si>
    <t>Nicholas Zhou</t>
  </si>
  <si>
    <t>10/28/2014</t>
  </si>
  <si>
    <t>E02261</t>
  </si>
  <si>
    <t>Ayla Garza</t>
  </si>
  <si>
    <t>6/15/2017</t>
  </si>
  <si>
    <t>E02262</t>
  </si>
  <si>
    <t>Carson Mai</t>
  </si>
  <si>
    <t>4/15/1996</t>
  </si>
  <si>
    <t>5/16/1996</t>
  </si>
  <si>
    <t>E02263</t>
  </si>
  <si>
    <t>E02264</t>
  </si>
  <si>
    <t>Anthony Ho</t>
  </si>
  <si>
    <t>E02265</t>
  </si>
  <si>
    <t>Clara Lopez</t>
  </si>
  <si>
    <t>E02266</t>
  </si>
  <si>
    <t>Melody Woods</t>
  </si>
  <si>
    <t>12/20/2010</t>
  </si>
  <si>
    <t>E02267</t>
  </si>
  <si>
    <t>Matthew Simmons</t>
  </si>
  <si>
    <t>12/19/2022</t>
  </si>
  <si>
    <t>E02268</t>
  </si>
  <si>
    <t>Gabriella Carrillo</t>
  </si>
  <si>
    <t>7/16/2012</t>
  </si>
  <si>
    <t>E02269</t>
  </si>
  <si>
    <t>Lydia Juarez</t>
  </si>
  <si>
    <t>9/21/2013</t>
  </si>
  <si>
    <t>E02270</t>
  </si>
  <si>
    <t>Ava Carrillo</t>
  </si>
  <si>
    <t>E02271</t>
  </si>
  <si>
    <t>Elena Sharma</t>
  </si>
  <si>
    <t>10/24/2014</t>
  </si>
  <si>
    <t>E02272</t>
  </si>
  <si>
    <t>Julia Ahmed</t>
  </si>
  <si>
    <t>11/14/2004</t>
  </si>
  <si>
    <t>E02273</t>
  </si>
  <si>
    <t>Iris Vo</t>
  </si>
  <si>
    <t>9/27/2018</t>
  </si>
  <si>
    <t>E02274</t>
  </si>
  <si>
    <t>Hunter Yi</t>
  </si>
  <si>
    <t>E02275</t>
  </si>
  <si>
    <t>Valentina Oh</t>
  </si>
  <si>
    <t>E02276</t>
  </si>
  <si>
    <t>Kinsley Tran</t>
  </si>
  <si>
    <t>E02277</t>
  </si>
  <si>
    <t>Christian Hong</t>
  </si>
  <si>
    <t>1/16/2008</t>
  </si>
  <si>
    <t>E02278</t>
  </si>
  <si>
    <t>Amelia Mehta</t>
  </si>
  <si>
    <t>4/21/2022</t>
  </si>
  <si>
    <t>E02279</t>
  </si>
  <si>
    <t>Axel Leung</t>
  </si>
  <si>
    <t>8/17/2001</t>
  </si>
  <si>
    <t>E02280</t>
  </si>
  <si>
    <t>Lucas Lam</t>
  </si>
  <si>
    <t>7/17/2013</t>
  </si>
  <si>
    <t>E02281</t>
  </si>
  <si>
    <t>Jose Thompson</t>
  </si>
  <si>
    <t>E02282</t>
  </si>
  <si>
    <t>Wesley Duong</t>
  </si>
  <si>
    <t>4/14/2022</t>
  </si>
  <si>
    <t>E02283</t>
  </si>
  <si>
    <t>Adeline Maldonado</t>
  </si>
  <si>
    <t>5/30/2011</t>
  </si>
  <si>
    <t>E02284</t>
  </si>
  <si>
    <t>Elias Diaz</t>
  </si>
  <si>
    <t>E02285</t>
  </si>
  <si>
    <t>Wyatt Aguilar</t>
  </si>
  <si>
    <t>E02286</t>
  </si>
  <si>
    <t>Josephine Espinoza</t>
  </si>
  <si>
    <t>11/26/2017</t>
  </si>
  <si>
    <t>E02287</t>
  </si>
  <si>
    <t>Adeline Lai</t>
  </si>
  <si>
    <t>E02288</t>
  </si>
  <si>
    <t>Christopher Vu</t>
  </si>
  <si>
    <t>3/16/2002</t>
  </si>
  <si>
    <t>E02289</t>
  </si>
  <si>
    <t>Kai Vega</t>
  </si>
  <si>
    <t>6/16/2005</t>
  </si>
  <si>
    <t>E02290</t>
  </si>
  <si>
    <t>Hailey Chin</t>
  </si>
  <si>
    <t>E02291</t>
  </si>
  <si>
    <t>Eleanor Xi</t>
  </si>
  <si>
    <t>E02292</t>
  </si>
  <si>
    <t>Lily Molina</t>
  </si>
  <si>
    <t>9/15/2009</t>
  </si>
  <si>
    <t>4/16/2018</t>
  </si>
  <si>
    <t>E02293</t>
  </si>
  <si>
    <t>Levi Vasquez</t>
  </si>
  <si>
    <t>E02294</t>
  </si>
  <si>
    <t>Elijah Washington</t>
  </si>
  <si>
    <t>2/13/2022</t>
  </si>
  <si>
    <t>E02295</t>
  </si>
  <si>
    <t>Gianna Park</t>
  </si>
  <si>
    <t>12/19/2020</t>
  </si>
  <si>
    <t>E02296</t>
  </si>
  <si>
    <t>Melody Leung</t>
  </si>
  <si>
    <t>3/20/2015</t>
  </si>
  <si>
    <t>E02297</t>
  </si>
  <si>
    <t>Liliana Valdez</t>
  </si>
  <si>
    <t>E02298</t>
  </si>
  <si>
    <t>Ezekiel Kumar</t>
  </si>
  <si>
    <t>11/19/2015</t>
  </si>
  <si>
    <t>E02299</t>
  </si>
  <si>
    <t>Ruby Rahman</t>
  </si>
  <si>
    <t>E02300</t>
  </si>
  <si>
    <t>Natalie Stewart</t>
  </si>
  <si>
    <t>6/30/2003</t>
  </si>
  <si>
    <t>1/26/2022</t>
  </si>
  <si>
    <t>E02301</t>
  </si>
  <si>
    <t>Charlotte Lim</t>
  </si>
  <si>
    <t>6/27/2006</t>
  </si>
  <si>
    <t>E02302</t>
  </si>
  <si>
    <t>Elena Campos</t>
  </si>
  <si>
    <t>E02303</t>
  </si>
  <si>
    <t>Vivian Lim</t>
  </si>
  <si>
    <t>1/22/2021</t>
  </si>
  <si>
    <t>E02304</t>
  </si>
  <si>
    <t>Madison Xu</t>
  </si>
  <si>
    <t>12/13/2017</t>
  </si>
  <si>
    <t>E02305</t>
  </si>
  <si>
    <t>Ava Aguilar</t>
  </si>
  <si>
    <t>12/17/2015</t>
  </si>
  <si>
    <t>E02306</t>
  </si>
  <si>
    <t>Kayden Patel</t>
  </si>
  <si>
    <t>3/22/1997</t>
  </si>
  <si>
    <t>E02307</t>
  </si>
  <si>
    <t>Penelope Desai</t>
  </si>
  <si>
    <t>10/29/2018</t>
  </si>
  <si>
    <t>E02308</t>
  </si>
  <si>
    <t>Henry Vang</t>
  </si>
  <si>
    <t>6/21/2019</t>
  </si>
  <si>
    <t>E02309</t>
  </si>
  <si>
    <t>Eliana Turner</t>
  </si>
  <si>
    <t>1/27/2020</t>
  </si>
  <si>
    <t>E02310</t>
  </si>
  <si>
    <t>Charlotte Tran</t>
  </si>
  <si>
    <t>E02311</t>
  </si>
  <si>
    <t>Everly Coleman</t>
  </si>
  <si>
    <t>8/14/2011</t>
  </si>
  <si>
    <t>E02312</t>
  </si>
  <si>
    <t>Matthew Harris</t>
  </si>
  <si>
    <t>3/27/2021</t>
  </si>
  <si>
    <t>E02313</t>
  </si>
  <si>
    <t>Emilia Barnes</t>
  </si>
  <si>
    <t>4/18/2013</t>
  </si>
  <si>
    <t>E02314</t>
  </si>
  <si>
    <t>Sophie Griffin</t>
  </si>
  <si>
    <t>E02315</t>
  </si>
  <si>
    <t>Kai Phillips</t>
  </si>
  <si>
    <t>12/13/2016</t>
  </si>
  <si>
    <t>5/20/2017</t>
  </si>
  <si>
    <t>E02316</t>
  </si>
  <si>
    <t>Dylan Khan</t>
  </si>
  <si>
    <t>5/31/2016</t>
  </si>
  <si>
    <t>E02317</t>
  </si>
  <si>
    <t>Nevaeh Clark</t>
  </si>
  <si>
    <t>8/16/2018</t>
  </si>
  <si>
    <t>E02318</t>
  </si>
  <si>
    <t>Carter Luu</t>
  </si>
  <si>
    <t>10/20/2022</t>
  </si>
  <si>
    <t>E02319</t>
  </si>
  <si>
    <t>Jordan Ngo</t>
  </si>
  <si>
    <t>E02320</t>
  </si>
  <si>
    <t>Jackson Hu</t>
  </si>
  <si>
    <t>E02321</t>
  </si>
  <si>
    <t>Madelyn Kang</t>
  </si>
  <si>
    <t>4/29/2013</t>
  </si>
  <si>
    <t>E02322</t>
  </si>
  <si>
    <t>Everleigh Bell</t>
  </si>
  <si>
    <t>E02323</t>
  </si>
  <si>
    <t>Eliana Trinh</t>
  </si>
  <si>
    <t>E02324</t>
  </si>
  <si>
    <t>Oliver Ford</t>
  </si>
  <si>
    <t>12/15/2018</t>
  </si>
  <si>
    <t>E02325</t>
  </si>
  <si>
    <t>Ryan Huang</t>
  </si>
  <si>
    <t>E02326</t>
  </si>
  <si>
    <t>Gabriel Ahmed</t>
  </si>
  <si>
    <t>E02327</t>
  </si>
  <si>
    <t>Ivy Rios</t>
  </si>
  <si>
    <t>1/18/2022</t>
  </si>
  <si>
    <t>E02328</t>
  </si>
  <si>
    <t>Luca Hunter</t>
  </si>
  <si>
    <t>E02329</t>
  </si>
  <si>
    <t>Claire Owens</t>
  </si>
  <si>
    <t>E02330</t>
  </si>
  <si>
    <t>Aubrey Maldonado</t>
  </si>
  <si>
    <t>6/13/2022</t>
  </si>
  <si>
    <t>E02331</t>
  </si>
  <si>
    <t>Elias Vasquez</t>
  </si>
  <si>
    <t>E02332</t>
  </si>
  <si>
    <t>Melody Luu</t>
  </si>
  <si>
    <t>E02333</t>
  </si>
  <si>
    <t>Christopher Luu</t>
  </si>
  <si>
    <t>10/27/2005</t>
  </si>
  <si>
    <t>E02334</t>
  </si>
  <si>
    <t>James Han</t>
  </si>
  <si>
    <t>E02335</t>
  </si>
  <si>
    <t>Jaxson Ayala</t>
  </si>
  <si>
    <t>E02336</t>
  </si>
  <si>
    <t>Levi James</t>
  </si>
  <si>
    <t>E02337</t>
  </si>
  <si>
    <t>Grayson Carrillo</t>
  </si>
  <si>
    <t>6/27/2001</t>
  </si>
  <si>
    <t>E02338</t>
  </si>
  <si>
    <t>Maverick Hwang</t>
  </si>
  <si>
    <t>4/20/2015</t>
  </si>
  <si>
    <t>E02339</t>
  </si>
  <si>
    <t>Noah Truong</t>
  </si>
  <si>
    <t>E02340</t>
  </si>
  <si>
    <t>Willow Guzman</t>
  </si>
  <si>
    <t>6/26/2010</t>
  </si>
  <si>
    <t>E02341</t>
  </si>
  <si>
    <t>Rylee Howard</t>
  </si>
  <si>
    <t>8/18/2014</t>
  </si>
  <si>
    <t>E02342</t>
  </si>
  <si>
    <t>Ian Marquez</t>
  </si>
  <si>
    <t>1/14/2019</t>
  </si>
  <si>
    <t>E02343</t>
  </si>
  <si>
    <t>Layla Owens</t>
  </si>
  <si>
    <t>E02344</t>
  </si>
  <si>
    <t>Chloe Dixon</t>
  </si>
  <si>
    <t>E02345</t>
  </si>
  <si>
    <t>Emily Zheng</t>
  </si>
  <si>
    <t>E02346</t>
  </si>
  <si>
    <t>Jayden Rogers</t>
  </si>
  <si>
    <t>12/14/2016</t>
  </si>
  <si>
    <t>E02347</t>
  </si>
  <si>
    <t>Elizabeth Vasquez</t>
  </si>
  <si>
    <t>E02348</t>
  </si>
  <si>
    <t>Samantha Ford</t>
  </si>
  <si>
    <t>1/19/2022</t>
  </si>
  <si>
    <t>E02349</t>
  </si>
  <si>
    <t>Thomas Silva</t>
  </si>
  <si>
    <t>8/13/2015</t>
  </si>
  <si>
    <t>1/30/2018</t>
  </si>
  <si>
    <t>E02350</t>
  </si>
  <si>
    <t>Charlotte Park</t>
  </si>
  <si>
    <t>12/17/2020</t>
  </si>
  <si>
    <t>E02351</t>
  </si>
  <si>
    <t>Liam Jimenez</t>
  </si>
  <si>
    <t>5/17/2012</t>
  </si>
  <si>
    <t>E02352</t>
  </si>
  <si>
    <t>Ivy Liu</t>
  </si>
  <si>
    <t>5/29/1993</t>
  </si>
  <si>
    <t>E02353</t>
  </si>
  <si>
    <t>Jayden Dixon</t>
  </si>
  <si>
    <t>1/14/2018</t>
  </si>
  <si>
    <t>E02354</t>
  </si>
  <si>
    <t>Nevaeh Butler</t>
  </si>
  <si>
    <t>E02355</t>
  </si>
  <si>
    <t>Leonardo Li</t>
  </si>
  <si>
    <t>4/23/2009</t>
  </si>
  <si>
    <t>E02356</t>
  </si>
  <si>
    <t>Kinsley Woods</t>
  </si>
  <si>
    <t>6/19/2014</t>
  </si>
  <si>
    <t>E02357</t>
  </si>
  <si>
    <t>Abigail Chu</t>
  </si>
  <si>
    <t>4/17/2006</t>
  </si>
  <si>
    <t>E02358</t>
  </si>
  <si>
    <t>Ava Xiong</t>
  </si>
  <si>
    <t>7/21/2019</t>
  </si>
  <si>
    <t>E02359</t>
  </si>
  <si>
    <t>Olivia Marquez</t>
  </si>
  <si>
    <t>E02360</t>
  </si>
  <si>
    <t>Claire Vazquez</t>
  </si>
  <si>
    <t>E02361</t>
  </si>
  <si>
    <t>Christian Castro</t>
  </si>
  <si>
    <t>4/15/2006</t>
  </si>
  <si>
    <t>E02362</t>
  </si>
  <si>
    <t>Mason Oh</t>
  </si>
  <si>
    <t>E02363</t>
  </si>
  <si>
    <t>Violet Santiago</t>
  </si>
  <si>
    <t>E02364</t>
  </si>
  <si>
    <t>Lily Rios</t>
  </si>
  <si>
    <t>1/25/2013</t>
  </si>
  <si>
    <t>E02365</t>
  </si>
  <si>
    <t>Kinsley Stewart</t>
  </si>
  <si>
    <t>E02366</t>
  </si>
  <si>
    <t>Aria Molina</t>
  </si>
  <si>
    <t>10/24/2001</t>
  </si>
  <si>
    <t>8/20/2022</t>
  </si>
  <si>
    <t>E02367</t>
  </si>
  <si>
    <t>James Cheng</t>
  </si>
  <si>
    <t>5/26/2010</t>
  </si>
  <si>
    <t>E02368</t>
  </si>
  <si>
    <t>Mila Vang</t>
  </si>
  <si>
    <t>8/25/2009</t>
  </si>
  <si>
    <t>E02369</t>
  </si>
  <si>
    <t>Alice Liu</t>
  </si>
  <si>
    <t>2/22/2012</t>
  </si>
  <si>
    <t>E02370</t>
  </si>
  <si>
    <t>Delilah Gonzalez</t>
  </si>
  <si>
    <t>3/29/1998</t>
  </si>
  <si>
    <t>E02371</t>
  </si>
  <si>
    <t>Samuel Tang</t>
  </si>
  <si>
    <t>9/15/2012</t>
  </si>
  <si>
    <t>E02372</t>
  </si>
  <si>
    <t>Serenity Gray</t>
  </si>
  <si>
    <t>6/19/2012</t>
  </si>
  <si>
    <t>E02373</t>
  </si>
  <si>
    <t>Benjamin Estrada</t>
  </si>
  <si>
    <t>9/28/2012</t>
  </si>
  <si>
    <t>E02374</t>
  </si>
  <si>
    <t>Wesley Han</t>
  </si>
  <si>
    <t>4/20/2017</t>
  </si>
  <si>
    <t>E02375</t>
  </si>
  <si>
    <t>Nora Herrera</t>
  </si>
  <si>
    <t>12/24/1997</t>
  </si>
  <si>
    <t>E02376</t>
  </si>
  <si>
    <t>Lincoln Harris</t>
  </si>
  <si>
    <t>9/16/2009</t>
  </si>
  <si>
    <t>E02377</t>
  </si>
  <si>
    <t>Charles Gonzales</t>
  </si>
  <si>
    <t>9/22/2020</t>
  </si>
  <si>
    <t>E02378</t>
  </si>
  <si>
    <t>Athena Cheng</t>
  </si>
  <si>
    <t>E02379</t>
  </si>
  <si>
    <t>David Garza</t>
  </si>
  <si>
    <t>E02380</t>
  </si>
  <si>
    <t>Hunter Doan</t>
  </si>
  <si>
    <t>12/15/2014</t>
  </si>
  <si>
    <t>E02381</t>
  </si>
  <si>
    <t>Julian Lam</t>
  </si>
  <si>
    <t>E02382</t>
  </si>
  <si>
    <t>Sofia Estrada</t>
  </si>
  <si>
    <t>3/26/2006</t>
  </si>
  <si>
    <t>E02383</t>
  </si>
  <si>
    <t>Jordan Chen</t>
  </si>
  <si>
    <t>1/22/1997</t>
  </si>
  <si>
    <t>E02384</t>
  </si>
  <si>
    <t>Eloise Huang</t>
  </si>
  <si>
    <t>E02385</t>
  </si>
  <si>
    <t>Ivy Mehta</t>
  </si>
  <si>
    <t>5/26/2020</t>
  </si>
  <si>
    <t>E02386</t>
  </si>
  <si>
    <t>Eli Castillo</t>
  </si>
  <si>
    <t>E02387</t>
  </si>
  <si>
    <t>Nolan Garcia</t>
  </si>
  <si>
    <t>6/16/2022</t>
  </si>
  <si>
    <t>E02388</t>
  </si>
  <si>
    <t>Alexander Zhu</t>
  </si>
  <si>
    <t>E02389</t>
  </si>
  <si>
    <t>Victoria Wu</t>
  </si>
  <si>
    <t>10/28/2021</t>
  </si>
  <si>
    <t>E02390</t>
  </si>
  <si>
    <t>Mateo Jordan</t>
  </si>
  <si>
    <t>2/13/2021</t>
  </si>
  <si>
    <t>E02391</t>
  </si>
  <si>
    <t>Everly Martin</t>
  </si>
  <si>
    <t>5/28/2020</t>
  </si>
  <si>
    <t>E02392</t>
  </si>
  <si>
    <t>Athena Castro</t>
  </si>
  <si>
    <t>E02393</t>
  </si>
  <si>
    <t>Josephine White</t>
  </si>
  <si>
    <t>E02394</t>
  </si>
  <si>
    <t>Nicholas Vo</t>
  </si>
  <si>
    <t>E02395</t>
  </si>
  <si>
    <t>Jackson Sandoval</t>
  </si>
  <si>
    <t>1/26/2011</t>
  </si>
  <si>
    <t>E02396</t>
  </si>
  <si>
    <t>Olivia Turner</t>
  </si>
  <si>
    <t>E02397</t>
  </si>
  <si>
    <t>Cooper Rivera</t>
  </si>
  <si>
    <t>12/26/2005</t>
  </si>
  <si>
    <t>E02398</t>
  </si>
  <si>
    <t>Hailey Washington</t>
  </si>
  <si>
    <t>E02399</t>
  </si>
  <si>
    <t>Mia Vasquez</t>
  </si>
  <si>
    <t>E02400</t>
  </si>
  <si>
    <t>Jose Grant</t>
  </si>
  <si>
    <t>6/28/2021</t>
  </si>
  <si>
    <t>E02401</t>
  </si>
  <si>
    <t>Nathan Yee</t>
  </si>
  <si>
    <t>10/24/2009</t>
  </si>
  <si>
    <t>E02402</t>
  </si>
  <si>
    <t>Isabella Munoz</t>
  </si>
  <si>
    <t>12/25/2002</t>
  </si>
  <si>
    <t>E02403</t>
  </si>
  <si>
    <t>Michael Turner</t>
  </si>
  <si>
    <t>12/29/2019</t>
  </si>
  <si>
    <t>E02404</t>
  </si>
  <si>
    <t>Oliver Jones</t>
  </si>
  <si>
    <t>3/20/2016</t>
  </si>
  <si>
    <t>E02405</t>
  </si>
  <si>
    <t>Charles Taylor</t>
  </si>
  <si>
    <t>7/15/2019</t>
  </si>
  <si>
    <t>E02406</t>
  </si>
  <si>
    <t>Gianna Alvarez</t>
  </si>
  <si>
    <t>E02407</t>
  </si>
  <si>
    <t>Nova Martin</t>
  </si>
  <si>
    <t>4/13/2013</t>
  </si>
  <si>
    <t>E02408</t>
  </si>
  <si>
    <t>Julia Gonzalez</t>
  </si>
  <si>
    <t>2/15/2005</t>
  </si>
  <si>
    <t>E02409</t>
  </si>
  <si>
    <t>Athena Vu</t>
  </si>
  <si>
    <t>11/28/2020</t>
  </si>
  <si>
    <t>E02410</t>
  </si>
  <si>
    <t>Caroline Bui</t>
  </si>
  <si>
    <t>9/15/2019</t>
  </si>
  <si>
    <t>E02411</t>
  </si>
  <si>
    <t>Daniel Ali</t>
  </si>
  <si>
    <t>9/28/2019</t>
  </si>
  <si>
    <t>E02412</t>
  </si>
  <si>
    <t>Iris Huang</t>
  </si>
  <si>
    <t>3/28/2008</t>
  </si>
  <si>
    <t>E02413</t>
  </si>
  <si>
    <t>Natalia Cheng</t>
  </si>
  <si>
    <t>7/29/2002</t>
  </si>
  <si>
    <t>E02414</t>
  </si>
  <si>
    <t>Owen Evans</t>
  </si>
  <si>
    <t>5/28/2021</t>
  </si>
  <si>
    <t>10/29/2022</t>
  </si>
  <si>
    <t>E02415</t>
  </si>
  <si>
    <t>Angel Dixon</t>
  </si>
  <si>
    <t>E02416</t>
  </si>
  <si>
    <t>Aubrey Guerrero</t>
  </si>
  <si>
    <t>E02417</t>
  </si>
  <si>
    <t>Ivy Do</t>
  </si>
  <si>
    <t>5/13/1993</t>
  </si>
  <si>
    <t>E02418</t>
  </si>
  <si>
    <t>Kai Gutierrez</t>
  </si>
  <si>
    <t>12/17/1997</t>
  </si>
  <si>
    <t>E02419</t>
  </si>
  <si>
    <t>Caroline Ahmed</t>
  </si>
  <si>
    <t>12/23/2016</t>
  </si>
  <si>
    <t>E02420</t>
  </si>
  <si>
    <t>Alice Sharma</t>
  </si>
  <si>
    <t>E02421</t>
  </si>
  <si>
    <t>Leo Simmons</t>
  </si>
  <si>
    <t>E02422</t>
  </si>
  <si>
    <t>Asher Hong</t>
  </si>
  <si>
    <t>4/17/2018</t>
  </si>
  <si>
    <t>E02423</t>
  </si>
  <si>
    <t>Gianna Ramirez</t>
  </si>
  <si>
    <t>7/25/1993</t>
  </si>
  <si>
    <t>E02424</t>
  </si>
  <si>
    <t>Thomas Smith</t>
  </si>
  <si>
    <t>E02425</t>
  </si>
  <si>
    <t>Carter Hunter</t>
  </si>
  <si>
    <t>8/21/2020</t>
  </si>
  <si>
    <t>E02426</t>
  </si>
  <si>
    <t>Charlotte Green</t>
  </si>
  <si>
    <t>E02427</t>
  </si>
  <si>
    <t>Lincoln Holmes</t>
  </si>
  <si>
    <t>8/21/2013</t>
  </si>
  <si>
    <t>E02428</t>
  </si>
  <si>
    <t>Hudson Hu</t>
  </si>
  <si>
    <t>E02429</t>
  </si>
  <si>
    <t>Noah Mitchell</t>
  </si>
  <si>
    <t>6/15/2007</t>
  </si>
  <si>
    <t>E02430</t>
  </si>
  <si>
    <t>Liliana Choi</t>
  </si>
  <si>
    <t>1/25/2007</t>
  </si>
  <si>
    <t>E02431</t>
  </si>
  <si>
    <t>Leonardo Cho</t>
  </si>
  <si>
    <t>E02432</t>
  </si>
  <si>
    <t>Oliver Delgado</t>
  </si>
  <si>
    <t>2/22/2017</t>
  </si>
  <si>
    <t>E02433</t>
  </si>
  <si>
    <t>Isabella Roberts</t>
  </si>
  <si>
    <t>8/20/2007</t>
  </si>
  <si>
    <t>E02434</t>
  </si>
  <si>
    <t>Luca Desai</t>
  </si>
  <si>
    <t>5/23/2017</t>
  </si>
  <si>
    <t>E02435</t>
  </si>
  <si>
    <t>William Juarez</t>
  </si>
  <si>
    <t>7/29/2016</t>
  </si>
  <si>
    <t>E02436</t>
  </si>
  <si>
    <t>Ryan Alvarez</t>
  </si>
  <si>
    <t>11/29/2018</t>
  </si>
  <si>
    <t>E02437</t>
  </si>
  <si>
    <t>Hudson Ha</t>
  </si>
  <si>
    <t>E02438</t>
  </si>
  <si>
    <t>Hannah Brown</t>
  </si>
  <si>
    <t>E02439</t>
  </si>
  <si>
    <t>Hadley Le</t>
  </si>
  <si>
    <t>3/18/2015</t>
  </si>
  <si>
    <t>E02440</t>
  </si>
  <si>
    <t>Jaxson Shah</t>
  </si>
  <si>
    <t>8/25/2018</t>
  </si>
  <si>
    <t>E02441</t>
  </si>
  <si>
    <t>Christopher Delgado</t>
  </si>
  <si>
    <t>6/24/2022</t>
  </si>
  <si>
    <t>E02442</t>
  </si>
  <si>
    <t>Hannah Ng</t>
  </si>
  <si>
    <t>5/14/2015</t>
  </si>
  <si>
    <t>E02443</t>
  </si>
  <si>
    <t>Austin Ngo</t>
  </si>
  <si>
    <t>3/27/2020</t>
  </si>
  <si>
    <t>E02444</t>
  </si>
  <si>
    <t>Gianna Han</t>
  </si>
  <si>
    <t>2/27/2011</t>
  </si>
  <si>
    <t>E02445</t>
  </si>
  <si>
    <t>Isaac Choi</t>
  </si>
  <si>
    <t>1/21/2021</t>
  </si>
  <si>
    <t>E02446</t>
  </si>
  <si>
    <t>Madeline Smith</t>
  </si>
  <si>
    <t>11/23/2011</t>
  </si>
  <si>
    <t>11/16/2017</t>
  </si>
  <si>
    <t>E02447</t>
  </si>
  <si>
    <t>Ellie Fernandez</t>
  </si>
  <si>
    <t>8/18/2009</t>
  </si>
  <si>
    <t>E02448</t>
  </si>
  <si>
    <t>Lyla Lai</t>
  </si>
  <si>
    <t>1/29/2009</t>
  </si>
  <si>
    <t>E02449</t>
  </si>
  <si>
    <t>Emily Moore</t>
  </si>
  <si>
    <t>E02450</t>
  </si>
  <si>
    <t>Aubrey Moreno</t>
  </si>
  <si>
    <t>6/30/2000</t>
  </si>
  <si>
    <t>11/26/2008</t>
  </si>
  <si>
    <t>E02451</t>
  </si>
  <si>
    <t>Nova Xiong</t>
  </si>
  <si>
    <t>E02452</t>
  </si>
  <si>
    <t>Eva Lam</t>
  </si>
  <si>
    <t>E02453</t>
  </si>
  <si>
    <t>Caroline Chau</t>
  </si>
  <si>
    <t>E02454</t>
  </si>
  <si>
    <t>Sofia Chen</t>
  </si>
  <si>
    <t>8/27/2006</t>
  </si>
  <si>
    <t>E02455</t>
  </si>
  <si>
    <t>Christopher Sharma</t>
  </si>
  <si>
    <t>4/16/2004</t>
  </si>
  <si>
    <t>E02456</t>
  </si>
  <si>
    <t>Lucas Grant</t>
  </si>
  <si>
    <t>3/28/2012</t>
  </si>
  <si>
    <t>E02457</t>
  </si>
  <si>
    <t>Delilah Washington</t>
  </si>
  <si>
    <t>9/17/2006</t>
  </si>
  <si>
    <t>E02458</t>
  </si>
  <si>
    <t>Eloise Molina</t>
  </si>
  <si>
    <t>1/18/2015</t>
  </si>
  <si>
    <t>E02459</t>
  </si>
  <si>
    <t>Clara Desai</t>
  </si>
  <si>
    <t>11/20/2014</t>
  </si>
  <si>
    <t>E02460</t>
  </si>
  <si>
    <t>Audrey Campbell</t>
  </si>
  <si>
    <t>7/30/2008</t>
  </si>
  <si>
    <t>E02461</t>
  </si>
  <si>
    <t>Delilah Alvarez</t>
  </si>
  <si>
    <t>11/27/2007</t>
  </si>
  <si>
    <t>E02462</t>
  </si>
  <si>
    <t>Luke Luna</t>
  </si>
  <si>
    <t>11/16/2012</t>
  </si>
  <si>
    <t>E02463</t>
  </si>
  <si>
    <t>Elizabeth Tan</t>
  </si>
  <si>
    <t>E02464</t>
  </si>
  <si>
    <t>Sophia Wang</t>
  </si>
  <si>
    <t>5/20/2000</t>
  </si>
  <si>
    <t>E02465</t>
  </si>
  <si>
    <t>Nova Park</t>
  </si>
  <si>
    <t>7/23/2017</t>
  </si>
  <si>
    <t>E02466</t>
  </si>
  <si>
    <t>Josiah Khan</t>
  </si>
  <si>
    <t>10/26/2004</t>
  </si>
  <si>
    <t>E02467</t>
  </si>
  <si>
    <t>Madison Gray</t>
  </si>
  <si>
    <t>8/29/2011</t>
  </si>
  <si>
    <t>E02468</t>
  </si>
  <si>
    <t>Luca Washington</t>
  </si>
  <si>
    <t>E02469</t>
  </si>
  <si>
    <t>Isaac Cruz</t>
  </si>
  <si>
    <t>E02470</t>
  </si>
  <si>
    <t>Ellie Ortega</t>
  </si>
  <si>
    <t>10/20/2020</t>
  </si>
  <si>
    <t>E02471</t>
  </si>
  <si>
    <t>Ian Huang</t>
  </si>
  <si>
    <t>E02472</t>
  </si>
  <si>
    <t>Jayden Ahmed</t>
  </si>
  <si>
    <t>3/28/2006</t>
  </si>
  <si>
    <t>E02473</t>
  </si>
  <si>
    <t>Violet Simmons</t>
  </si>
  <si>
    <t>10/23/2017</t>
  </si>
  <si>
    <t>E02474</t>
  </si>
  <si>
    <t>William Roberts</t>
  </si>
  <si>
    <t>E02475</t>
  </si>
  <si>
    <t>Penelope Sandoval</t>
  </si>
  <si>
    <t>12/18/2019</t>
  </si>
  <si>
    <t>E02476</t>
  </si>
  <si>
    <t>Emilia Ortiz</t>
  </si>
  <si>
    <t>7/16/2017</t>
  </si>
  <si>
    <t>E02477</t>
  </si>
  <si>
    <t>Layla Gutierrez</t>
  </si>
  <si>
    <t>E02478</t>
  </si>
  <si>
    <t>Dylan Vu</t>
  </si>
  <si>
    <t>7/22/2004</t>
  </si>
  <si>
    <t>E02479</t>
  </si>
  <si>
    <t>Peyton Wong</t>
  </si>
  <si>
    <t>E02480</t>
  </si>
  <si>
    <t>Santiago f Banks</t>
  </si>
  <si>
    <t>8/16/2019</t>
  </si>
  <si>
    <t>E02481</t>
  </si>
  <si>
    <t>Caroline Wong</t>
  </si>
  <si>
    <t>E02482</t>
  </si>
  <si>
    <t>Quinn Ho</t>
  </si>
  <si>
    <t>7/20/2002</t>
  </si>
  <si>
    <t>E02483</t>
  </si>
  <si>
    <t>Caroline Nunez</t>
  </si>
  <si>
    <t>12/20/2002</t>
  </si>
  <si>
    <t>E02484</t>
  </si>
  <si>
    <t>Carson Brown</t>
  </si>
  <si>
    <t>E02485</t>
  </si>
  <si>
    <t>Olivia Maldonado</t>
  </si>
  <si>
    <t>2/18/2002</t>
  </si>
  <si>
    <t>E02486</t>
  </si>
  <si>
    <t>Emilia Chung</t>
  </si>
  <si>
    <t>E02487</t>
  </si>
  <si>
    <t>Leilani Shin</t>
  </si>
  <si>
    <t>12/18/2013</t>
  </si>
  <si>
    <t>E02488</t>
  </si>
  <si>
    <t>Abigail Zhu</t>
  </si>
  <si>
    <t>1/17/2022</t>
  </si>
  <si>
    <t>E02489</t>
  </si>
  <si>
    <t>Autumn Xiong</t>
  </si>
  <si>
    <t>2/13/2020</t>
  </si>
  <si>
    <t>E02490</t>
  </si>
  <si>
    <t>Hailey Cruz</t>
  </si>
  <si>
    <t>E02491</t>
  </si>
  <si>
    <t>Piper Cruz</t>
  </si>
  <si>
    <t>E02492</t>
  </si>
  <si>
    <t>Jaxson Jackson</t>
  </si>
  <si>
    <t>E02493</t>
  </si>
  <si>
    <t>Serenity Mehta</t>
  </si>
  <si>
    <t>7/21/1998</t>
  </si>
  <si>
    <t>E02494</t>
  </si>
  <si>
    <t>Peyton Gomez</t>
  </si>
  <si>
    <t>1/14/2020</t>
  </si>
  <si>
    <t>E02495</t>
  </si>
  <si>
    <t>Ethan Vargas</t>
  </si>
  <si>
    <t>E02496</t>
  </si>
  <si>
    <t>Serenity Morris</t>
  </si>
  <si>
    <t>E02497</t>
  </si>
  <si>
    <t>Vivian Chan</t>
  </si>
  <si>
    <t>3/29/2021</t>
  </si>
  <si>
    <t>E02498</t>
  </si>
  <si>
    <t>Lincoln Singh</t>
  </si>
  <si>
    <t>E02499</t>
  </si>
  <si>
    <t>Ayla Lim</t>
  </si>
  <si>
    <t>E02500</t>
  </si>
  <si>
    <t>Leilani Hong</t>
  </si>
  <si>
    <t>12/20/2013</t>
  </si>
  <si>
    <t>E02501</t>
  </si>
  <si>
    <t>Victoria Doan</t>
  </si>
  <si>
    <t>E02502</t>
  </si>
  <si>
    <t>Naomi Wright</t>
  </si>
  <si>
    <t>E02503</t>
  </si>
  <si>
    <t>Scarlett Howard</t>
  </si>
  <si>
    <t>8/28/2017</t>
  </si>
  <si>
    <t>E02504</t>
  </si>
  <si>
    <t>Victoria Vo</t>
  </si>
  <si>
    <t>12/18/2017</t>
  </si>
  <si>
    <t>E02505</t>
  </si>
  <si>
    <t>Oliver Fernandez</t>
  </si>
  <si>
    <t>5/15/2022</t>
  </si>
  <si>
    <t>E02506</t>
  </si>
  <si>
    <t>Luca Jiang</t>
  </si>
  <si>
    <t>E02507</t>
  </si>
  <si>
    <t>Charlotte Owens</t>
  </si>
  <si>
    <t>E02508</t>
  </si>
  <si>
    <t>Stella Tan</t>
  </si>
  <si>
    <t>8/22/2009</t>
  </si>
  <si>
    <t>E02509</t>
  </si>
  <si>
    <t>Ellie Yoon</t>
  </si>
  <si>
    <t>E02510</t>
  </si>
  <si>
    <t>Ella Do</t>
  </si>
  <si>
    <t>2/28/1998</t>
  </si>
  <si>
    <t>E02511</t>
  </si>
  <si>
    <t>Lucas Cruz</t>
  </si>
  <si>
    <t>E02512</t>
  </si>
  <si>
    <t>Sarah Mehta</t>
  </si>
  <si>
    <t>8/23/2016</t>
  </si>
  <si>
    <t>E02513</t>
  </si>
  <si>
    <t>Anthony Phan</t>
  </si>
  <si>
    <t>E02514</t>
  </si>
  <si>
    <t>David Chu</t>
  </si>
  <si>
    <t>12/16/2012</t>
  </si>
  <si>
    <t>E02515</t>
  </si>
  <si>
    <t>Sebastian Sanders</t>
  </si>
  <si>
    <t>1/23/2009</t>
  </si>
  <si>
    <t>E02516</t>
  </si>
  <si>
    <t>Jayden Phillips</t>
  </si>
  <si>
    <t>10/13/2022</t>
  </si>
  <si>
    <t>E02517</t>
  </si>
  <si>
    <t>Caleb Chan</t>
  </si>
  <si>
    <t>6/24/2003</t>
  </si>
  <si>
    <t>E02518</t>
  </si>
  <si>
    <t>Ariana Santiago</t>
  </si>
  <si>
    <t>10/28/2003</t>
  </si>
  <si>
    <t>E02519</t>
  </si>
  <si>
    <t>Quinn Owens</t>
  </si>
  <si>
    <t>E02520</t>
  </si>
  <si>
    <t>Eli James</t>
  </si>
  <si>
    <t>4/15/2021</t>
  </si>
  <si>
    <t>E02521</t>
  </si>
  <si>
    <t>Ezra Aguilar</t>
  </si>
  <si>
    <t>E02522</t>
  </si>
  <si>
    <t>Anna Castro</t>
  </si>
  <si>
    <t>5/21/2018</t>
  </si>
  <si>
    <t>E02523</t>
  </si>
  <si>
    <t>Liliana Lewis</t>
  </si>
  <si>
    <t>2/23/2021</t>
  </si>
  <si>
    <t>E02524</t>
  </si>
  <si>
    <t>Maverick Alvarado</t>
  </si>
  <si>
    <t>E02525</t>
  </si>
  <si>
    <t>Nora Butler</t>
  </si>
  <si>
    <t>E02526</t>
  </si>
  <si>
    <t>Landon Rodriguez</t>
  </si>
  <si>
    <t>11/19/2017</t>
  </si>
  <si>
    <t>E02527</t>
  </si>
  <si>
    <t>Grace Harris</t>
  </si>
  <si>
    <t>10/28/2018</t>
  </si>
  <si>
    <t>E02528</t>
  </si>
  <si>
    <t>Jeremiah Medina</t>
  </si>
  <si>
    <t>9/28/1997</t>
  </si>
  <si>
    <t>E02529</t>
  </si>
  <si>
    <t>Charles Bryant</t>
  </si>
  <si>
    <t>E02530</t>
  </si>
  <si>
    <t>Elizabeth Dixon</t>
  </si>
  <si>
    <t>11/15/2020</t>
  </si>
  <si>
    <t>E02531</t>
  </si>
  <si>
    <t>Riley Phillips</t>
  </si>
  <si>
    <t>E02532</t>
  </si>
  <si>
    <t>Gianna Cruz</t>
  </si>
  <si>
    <t>E02533</t>
  </si>
  <si>
    <t>Lincoln Cruz</t>
  </si>
  <si>
    <t>7/15/1997</t>
  </si>
  <si>
    <t>E02534</t>
  </si>
  <si>
    <t>Ezekiel Contreras</t>
  </si>
  <si>
    <t>E02535</t>
  </si>
  <si>
    <t>Amelia Do</t>
  </si>
  <si>
    <t>12/24/2018</t>
  </si>
  <si>
    <t>E02536</t>
  </si>
  <si>
    <t>Anthony Perez</t>
  </si>
  <si>
    <t>9/13/2021</t>
  </si>
  <si>
    <t>E02537</t>
  </si>
  <si>
    <t>Elias Maldonado</t>
  </si>
  <si>
    <t>E02538</t>
  </si>
  <si>
    <t>Liam Luong</t>
  </si>
  <si>
    <t>11/13/1995</t>
  </si>
  <si>
    <t>E02539</t>
  </si>
  <si>
    <t>Jordan Ford</t>
  </si>
  <si>
    <t>9/19/2016</t>
  </si>
  <si>
    <t>E02540</t>
  </si>
  <si>
    <t>Mateo Chung</t>
  </si>
  <si>
    <t>E02541</t>
  </si>
  <si>
    <t>Jameson Vang</t>
  </si>
  <si>
    <t>5/23/2018</t>
  </si>
  <si>
    <t>E02542</t>
  </si>
  <si>
    <t>Samuel Thomas</t>
  </si>
  <si>
    <t>2/15/2016</t>
  </si>
  <si>
    <t>E02543</t>
  </si>
  <si>
    <t>Gabriel Rodriguez</t>
  </si>
  <si>
    <t>E02544</t>
  </si>
  <si>
    <t>Wyatt Robinson</t>
  </si>
  <si>
    <t>E02545</t>
  </si>
  <si>
    <t>Anna Huynh</t>
  </si>
  <si>
    <t>E02546</t>
  </si>
  <si>
    <t>Lucy Simmons</t>
  </si>
  <si>
    <t>E02547</t>
  </si>
  <si>
    <t>Austin Ng</t>
  </si>
  <si>
    <t>E02548</t>
  </si>
  <si>
    <t>Madeline Cruz</t>
  </si>
  <si>
    <t>5/19/2008</t>
  </si>
  <si>
    <t>E02549</t>
  </si>
  <si>
    <t>Layla Munoz</t>
  </si>
  <si>
    <t>9/24/2014</t>
  </si>
  <si>
    <t>9/14/2017</t>
  </si>
  <si>
    <t>E02550</t>
  </si>
  <si>
    <t>Alexander Tang</t>
  </si>
  <si>
    <t>1/29/2015</t>
  </si>
  <si>
    <t>E02551</t>
  </si>
  <si>
    <t>Carson Chen</t>
  </si>
  <si>
    <t>E02552</t>
  </si>
  <si>
    <t>Kai Duong</t>
  </si>
  <si>
    <t>11/16/2018</t>
  </si>
  <si>
    <t>E02553</t>
  </si>
  <si>
    <t>Ayla Cooper</t>
  </si>
  <si>
    <t>2/15/2017</t>
  </si>
  <si>
    <t>12/26/2019</t>
  </si>
  <si>
    <t>E02554</t>
  </si>
  <si>
    <t>Eliza Espinoza</t>
  </si>
  <si>
    <t>12/28/2017</t>
  </si>
  <si>
    <t>E02555</t>
  </si>
  <si>
    <t>Axel King</t>
  </si>
  <si>
    <t>2/21/2010</t>
  </si>
  <si>
    <t>E02556</t>
  </si>
  <si>
    <t>Alexander Carter</t>
  </si>
  <si>
    <t>E02557</t>
  </si>
  <si>
    <t>Robert Rogers</t>
  </si>
  <si>
    <t>8/26/2011</t>
  </si>
  <si>
    <t>E02558</t>
  </si>
  <si>
    <t>Anthony Gupta</t>
  </si>
  <si>
    <t>9/23/2021</t>
  </si>
  <si>
    <t>E02559</t>
  </si>
  <si>
    <t>Jackson Gupta</t>
  </si>
  <si>
    <t>6/27/1993</t>
  </si>
  <si>
    <t>E02560</t>
  </si>
  <si>
    <t>Sophia Rodriguez</t>
  </si>
  <si>
    <t>10/31/2007</t>
  </si>
  <si>
    <t>E02561</t>
  </si>
  <si>
    <t>Cora Patel</t>
  </si>
  <si>
    <t>5/13/2011</t>
  </si>
  <si>
    <t>E02562</t>
  </si>
  <si>
    <t>Piper Hsu</t>
  </si>
  <si>
    <t>8/23/2015</t>
  </si>
  <si>
    <t>E02563</t>
  </si>
  <si>
    <t>Hunter Marquez</t>
  </si>
  <si>
    <t>E02564</t>
  </si>
  <si>
    <t>Addison Li</t>
  </si>
  <si>
    <t>E02565</t>
  </si>
  <si>
    <t>Carson Hoang</t>
  </si>
  <si>
    <t>E02566</t>
  </si>
  <si>
    <t>Julian Fernandez</t>
  </si>
  <si>
    <t>E02567</t>
  </si>
  <si>
    <t>Caleb Rojas</t>
  </si>
  <si>
    <t>E02568</t>
  </si>
  <si>
    <t>Elizabeth Griffin</t>
  </si>
  <si>
    <t>E02569</t>
  </si>
  <si>
    <t>Nolan Han</t>
  </si>
  <si>
    <t>E02570</t>
  </si>
  <si>
    <t>Cameron Romero</t>
  </si>
  <si>
    <t>9/15/1997</t>
  </si>
  <si>
    <t>E02571</t>
  </si>
  <si>
    <t>Angel Patterson</t>
  </si>
  <si>
    <t>E02572</t>
  </si>
  <si>
    <t>Ryan Foster</t>
  </si>
  <si>
    <t>2/22/2004</t>
  </si>
  <si>
    <t>6/14/2007</t>
  </si>
  <si>
    <t>E02573</t>
  </si>
  <si>
    <t>Leonardo Patterson</t>
  </si>
  <si>
    <t>E02574</t>
  </si>
  <si>
    <t>William Song</t>
  </si>
  <si>
    <t>10/25/2010</t>
  </si>
  <si>
    <t>E02575</t>
  </si>
  <si>
    <t>Axel Aguilar</t>
  </si>
  <si>
    <t>E02576</t>
  </si>
  <si>
    <t>Liam Valdez</t>
  </si>
  <si>
    <t>E02577</t>
  </si>
  <si>
    <t>Hudson Washington</t>
  </si>
  <si>
    <t>9/17/2008</t>
  </si>
  <si>
    <t>E02578</t>
  </si>
  <si>
    <t>Owen Han</t>
  </si>
  <si>
    <t>E02579</t>
  </si>
  <si>
    <t>Harper Washington</t>
  </si>
  <si>
    <t>6/24/1999</t>
  </si>
  <si>
    <t>E02580</t>
  </si>
  <si>
    <t>Brooklyn Parker</t>
  </si>
  <si>
    <t>3/19/2005</t>
  </si>
  <si>
    <t>E02581</t>
  </si>
  <si>
    <t>Hudson Oh</t>
  </si>
  <si>
    <t>E02582</t>
  </si>
  <si>
    <t>Maverick Howard</t>
  </si>
  <si>
    <t>4/13/2021</t>
  </si>
  <si>
    <t>E02583</t>
  </si>
  <si>
    <t>Alexander Dominguez</t>
  </si>
  <si>
    <t>11/27/2014</t>
  </si>
  <si>
    <t>E02584</t>
  </si>
  <si>
    <t>Jack Garcia</t>
  </si>
  <si>
    <t>3/21/2022</t>
  </si>
  <si>
    <t>E02585</t>
  </si>
  <si>
    <t>Aiden Hu</t>
  </si>
  <si>
    <t>E02586</t>
  </si>
  <si>
    <t>Cora Espinoza</t>
  </si>
  <si>
    <t>E02587</t>
  </si>
  <si>
    <t>Naomi Moua</t>
  </si>
  <si>
    <t>1/13/2010</t>
  </si>
  <si>
    <t>E02588</t>
  </si>
  <si>
    <t>Liam Baker</t>
  </si>
  <si>
    <t>1/26/2020</t>
  </si>
  <si>
    <t>E02589</t>
  </si>
  <si>
    <t>Christian Liu</t>
  </si>
  <si>
    <t>3/29/2000</t>
  </si>
  <si>
    <t>E02590</t>
  </si>
  <si>
    <t>Aaron Munoz</t>
  </si>
  <si>
    <t>6/13/2021</t>
  </si>
  <si>
    <t>E02591</t>
  </si>
  <si>
    <t>Levi Kang</t>
  </si>
  <si>
    <t>4/28/2019</t>
  </si>
  <si>
    <t>E02592</t>
  </si>
  <si>
    <t>Isaac Foster</t>
  </si>
  <si>
    <t>E02593</t>
  </si>
  <si>
    <t>Samantha Zhu</t>
  </si>
  <si>
    <t>10/27/2001</t>
  </si>
  <si>
    <t>5/19/2010</t>
  </si>
  <si>
    <t>E02594</t>
  </si>
  <si>
    <t>Vivian Watson</t>
  </si>
  <si>
    <t>E02595</t>
  </si>
  <si>
    <t>Emery Hernandez</t>
  </si>
  <si>
    <t>E02596</t>
  </si>
  <si>
    <t>Camila Baker</t>
  </si>
  <si>
    <t>E02597</t>
  </si>
  <si>
    <t>David Bryant</t>
  </si>
  <si>
    <t>E02598</t>
  </si>
  <si>
    <t>Miles Perez</t>
  </si>
  <si>
    <t>E02599</t>
  </si>
  <si>
    <t>Elijah Hill</t>
  </si>
  <si>
    <t>12/16/2018</t>
  </si>
  <si>
    <t>E02600</t>
  </si>
  <si>
    <t>Sofia Shin</t>
  </si>
  <si>
    <t>E02601</t>
  </si>
  <si>
    <t>Ezekiel Lee</t>
  </si>
  <si>
    <t>8/22/2019</t>
  </si>
  <si>
    <t>E02602</t>
  </si>
  <si>
    <t>Nevaeh Truong</t>
  </si>
  <si>
    <t>5/23/2012</t>
  </si>
  <si>
    <t>E02603</t>
  </si>
  <si>
    <t>Leah Ali</t>
  </si>
  <si>
    <t>8/20/1999</t>
  </si>
  <si>
    <t>E02604</t>
  </si>
  <si>
    <t>Emma Soto</t>
  </si>
  <si>
    <t>9/13/2020</t>
  </si>
  <si>
    <t>E02605</t>
  </si>
  <si>
    <t>Lydia Marquez</t>
  </si>
  <si>
    <t>9/28/2018</t>
  </si>
  <si>
    <t>E02606</t>
  </si>
  <si>
    <t>Cora Munoz</t>
  </si>
  <si>
    <t>5/17/2004</t>
  </si>
  <si>
    <t>E02607</t>
  </si>
  <si>
    <t>Hudson Ross</t>
  </si>
  <si>
    <t>E02608</t>
  </si>
  <si>
    <t>Aiden Cheng</t>
  </si>
  <si>
    <t>3/31/2021</t>
  </si>
  <si>
    <t>E02609</t>
  </si>
  <si>
    <t>Willow Vang</t>
  </si>
  <si>
    <t>5/18/2018</t>
  </si>
  <si>
    <t>E02610</t>
  </si>
  <si>
    <t>Jonathan Young</t>
  </si>
  <si>
    <t>4/28/2015</t>
  </si>
  <si>
    <t>E02611</t>
  </si>
  <si>
    <t>Isaac Rojas</t>
  </si>
  <si>
    <t>E02612</t>
  </si>
  <si>
    <t>Dylan Guzman</t>
  </si>
  <si>
    <t>3/16/2017</t>
  </si>
  <si>
    <t>E02613</t>
  </si>
  <si>
    <t>Sarah Shin</t>
  </si>
  <si>
    <t>E02614</t>
  </si>
  <si>
    <t>Michael Johnson</t>
  </si>
  <si>
    <t>4/18/2011</t>
  </si>
  <si>
    <t>E02615</t>
  </si>
  <si>
    <t>Riley Vega</t>
  </si>
  <si>
    <t>E02616</t>
  </si>
  <si>
    <t>Benjamin Ali</t>
  </si>
  <si>
    <t>E02617</t>
  </si>
  <si>
    <t>Ezekiel Cooper</t>
  </si>
  <si>
    <t>3/15/2003</t>
  </si>
  <si>
    <t>E02618</t>
  </si>
  <si>
    <t>Lyla Walker</t>
  </si>
  <si>
    <t>E02619</t>
  </si>
  <si>
    <t>Aria Cheng</t>
  </si>
  <si>
    <t>8/26/1996</t>
  </si>
  <si>
    <t>E02620</t>
  </si>
  <si>
    <t>Christopher Ramirez</t>
  </si>
  <si>
    <t>3/15/2010</t>
  </si>
  <si>
    <t>E02621</t>
  </si>
  <si>
    <t>Emily Roberts</t>
  </si>
  <si>
    <t>12/29/2018</t>
  </si>
  <si>
    <t>E02622</t>
  </si>
  <si>
    <t>Nathan Parker</t>
  </si>
  <si>
    <t>4/24/2002</t>
  </si>
  <si>
    <t>E02623</t>
  </si>
  <si>
    <t>Nora Her</t>
  </si>
  <si>
    <t>4/24/2014</t>
  </si>
  <si>
    <t>E02624</t>
  </si>
  <si>
    <t>Mia Brown</t>
  </si>
  <si>
    <t>E02625</t>
  </si>
  <si>
    <t>Hunter Hu</t>
  </si>
  <si>
    <t>7/13/2003</t>
  </si>
  <si>
    <t>E02626</t>
  </si>
  <si>
    <t>Luke Acosta</t>
  </si>
  <si>
    <t>7/20/2022</t>
  </si>
  <si>
    <t>E02627</t>
  </si>
  <si>
    <t>Sophia Griffin</t>
  </si>
  <si>
    <t>6/29/2018</t>
  </si>
  <si>
    <t>10/21/2021</t>
  </si>
  <si>
    <t>E02628</t>
  </si>
  <si>
    <t>Anthony Chu</t>
  </si>
  <si>
    <t>9/30/2003</t>
  </si>
  <si>
    <t>E02629</t>
  </si>
  <si>
    <t>Landon Ha</t>
  </si>
  <si>
    <t>1/30/2006</t>
  </si>
  <si>
    <t>E02630</t>
  </si>
  <si>
    <t>Layla Kang</t>
  </si>
  <si>
    <t>E02631</t>
  </si>
  <si>
    <t>Cora Xu</t>
  </si>
  <si>
    <t>11/17/2011</t>
  </si>
  <si>
    <t>E02632</t>
  </si>
  <si>
    <t>Rylee Campos</t>
  </si>
  <si>
    <t>E02633</t>
  </si>
  <si>
    <t>Amelia Foster</t>
  </si>
  <si>
    <t>2/24/2018</t>
  </si>
  <si>
    <t>E02634</t>
  </si>
  <si>
    <t>Hadley Rios</t>
  </si>
  <si>
    <t>E02635</t>
  </si>
  <si>
    <t>Luna Chang</t>
  </si>
  <si>
    <t>E02636</t>
  </si>
  <si>
    <t>Mia Navarro</t>
  </si>
  <si>
    <t>6/19/2011</t>
  </si>
  <si>
    <t>E02637</t>
  </si>
  <si>
    <t>Nova Rios</t>
  </si>
  <si>
    <t>4/15/2019</t>
  </si>
  <si>
    <t>E02638</t>
  </si>
  <si>
    <t>Theodore Truong</t>
  </si>
  <si>
    <t>E02639</t>
  </si>
  <si>
    <t>Asher Ly</t>
  </si>
  <si>
    <t>1/29/1998</t>
  </si>
  <si>
    <t>E02640</t>
  </si>
  <si>
    <t>Madeline Doan</t>
  </si>
  <si>
    <t>E02641</t>
  </si>
  <si>
    <t>Scarlett Rodriguez</t>
  </si>
  <si>
    <t>E02642</t>
  </si>
  <si>
    <t>Zoey Lu</t>
  </si>
  <si>
    <t>12/31/2010</t>
  </si>
  <si>
    <t>E02643</t>
  </si>
  <si>
    <t>Mila Cheung</t>
  </si>
  <si>
    <t>12/17/2021</t>
  </si>
  <si>
    <t>E02644</t>
  </si>
  <si>
    <t>Lucy Mai</t>
  </si>
  <si>
    <t>E02645</t>
  </si>
  <si>
    <t>Benjamin Luu</t>
  </si>
  <si>
    <t>12/15/2011</t>
  </si>
  <si>
    <t>E02646</t>
  </si>
  <si>
    <t>5/22/2020</t>
  </si>
  <si>
    <t>E02647</t>
  </si>
  <si>
    <t>Maya Watson</t>
  </si>
  <si>
    <t>E02648</t>
  </si>
  <si>
    <t>Jack Adams</t>
  </si>
  <si>
    <t>7/18/2018</t>
  </si>
  <si>
    <t>E02649</t>
  </si>
  <si>
    <t>Gabriella Jordan</t>
  </si>
  <si>
    <t>9/21/2019</t>
  </si>
  <si>
    <t>E02650</t>
  </si>
  <si>
    <t>Jonathan Torres</t>
  </si>
  <si>
    <t>3/14/2017</t>
  </si>
  <si>
    <t>E02651</t>
  </si>
  <si>
    <t>Samuel Xu</t>
  </si>
  <si>
    <t>9/20/2019</t>
  </si>
  <si>
    <t>1/17/2020</t>
  </si>
  <si>
    <t>E02652</t>
  </si>
  <si>
    <t>Ezekiel Lai</t>
  </si>
  <si>
    <t>11/26/2005</t>
  </si>
  <si>
    <t>E02653</t>
  </si>
  <si>
    <t>Levi Rahman</t>
  </si>
  <si>
    <t>7/19/2007</t>
  </si>
  <si>
    <t>E02654</t>
  </si>
  <si>
    <t>Madison Phan</t>
  </si>
  <si>
    <t>E02655</t>
  </si>
  <si>
    <t>Andrew Pham</t>
  </si>
  <si>
    <t>6/29/2013</t>
  </si>
  <si>
    <t>E02656</t>
  </si>
  <si>
    <t>Clara Ford</t>
  </si>
  <si>
    <t>E02657</t>
  </si>
  <si>
    <t>Christopher Chau</t>
  </si>
  <si>
    <t>12/28/2021</t>
  </si>
  <si>
    <t>E02658</t>
  </si>
  <si>
    <t>Madeline Guerrero</t>
  </si>
  <si>
    <t>8/16/2020</t>
  </si>
  <si>
    <t>E02659</t>
  </si>
  <si>
    <t>Harper Yee</t>
  </si>
  <si>
    <t>E02660</t>
  </si>
  <si>
    <t>Mia Thomas</t>
  </si>
  <si>
    <t>5/17/2013</t>
  </si>
  <si>
    <t>E02661</t>
  </si>
  <si>
    <t>Owen Nelson</t>
  </si>
  <si>
    <t>E02662</t>
  </si>
  <si>
    <t>Aiden Evans</t>
  </si>
  <si>
    <t>5/16/2010</t>
  </si>
  <si>
    <t>E02663</t>
  </si>
  <si>
    <t>Josiah Lai</t>
  </si>
  <si>
    <t>3/21/1995</t>
  </si>
  <si>
    <t>E02664</t>
  </si>
  <si>
    <t>Jameson Yee</t>
  </si>
  <si>
    <t>E02665</t>
  </si>
  <si>
    <t>Serenity Her</t>
  </si>
  <si>
    <t>8/22/1997</t>
  </si>
  <si>
    <t>E02666</t>
  </si>
  <si>
    <t>Ariana Turner</t>
  </si>
  <si>
    <t>E02667</t>
  </si>
  <si>
    <t>Jacob Cooper</t>
  </si>
  <si>
    <t>E02668</t>
  </si>
  <si>
    <t>Christopher Dominguez</t>
  </si>
  <si>
    <t>9/17/2015</t>
  </si>
  <si>
    <t>E02669</t>
  </si>
  <si>
    <t>Nevaeh Lim</t>
  </si>
  <si>
    <t>3/29/1999</t>
  </si>
  <si>
    <t>E02670</t>
  </si>
  <si>
    <t>Dominic Cheng</t>
  </si>
  <si>
    <t>E02671</t>
  </si>
  <si>
    <t>Serenity Rodriguez</t>
  </si>
  <si>
    <t>E02672</t>
  </si>
  <si>
    <t>Caleb Thompson</t>
  </si>
  <si>
    <t>12/17/2012</t>
  </si>
  <si>
    <t>E02673</t>
  </si>
  <si>
    <t>Luke Avila</t>
  </si>
  <si>
    <t>E02674</t>
  </si>
  <si>
    <t>Sadie Chin</t>
  </si>
  <si>
    <t>7/26/2000</t>
  </si>
  <si>
    <t>E02675</t>
  </si>
  <si>
    <t>Everett Le</t>
  </si>
  <si>
    <t>E02676</t>
  </si>
  <si>
    <t>Carson Santos</t>
  </si>
  <si>
    <t>2/15/2022</t>
  </si>
  <si>
    <t>E02677</t>
  </si>
  <si>
    <t>Natalie Ho</t>
  </si>
  <si>
    <t>11/22/2020</t>
  </si>
  <si>
    <t>E02678</t>
  </si>
  <si>
    <t>Natalia Hall</t>
  </si>
  <si>
    <t>7/27/2021</t>
  </si>
  <si>
    <t>E02679</t>
  </si>
  <si>
    <t>Zoey Ahmed</t>
  </si>
  <si>
    <t>4/25/2012</t>
  </si>
  <si>
    <t>E02680</t>
  </si>
  <si>
    <t>Santiago f Turner</t>
  </si>
  <si>
    <t>2/24/2003</t>
  </si>
  <si>
    <t>E02681</t>
  </si>
  <si>
    <t>Jacob Alexander</t>
  </si>
  <si>
    <t>3/19/2001</t>
  </si>
  <si>
    <t>6/17/2011</t>
  </si>
  <si>
    <t>E02682</t>
  </si>
  <si>
    <t>Christopher Aguilar</t>
  </si>
  <si>
    <t>5/14/2021</t>
  </si>
  <si>
    <t>E02683</t>
  </si>
  <si>
    <t>Vivian Jackson</t>
  </si>
  <si>
    <t>2/23/1999</t>
  </si>
  <si>
    <t>7/16/2007</t>
  </si>
  <si>
    <t>E02684</t>
  </si>
  <si>
    <t>Leonardo Jenkins</t>
  </si>
  <si>
    <t>E02685</t>
  </si>
  <si>
    <t>Oliver Hunter</t>
  </si>
  <si>
    <t>12/20/2015</t>
  </si>
  <si>
    <t>E02686</t>
  </si>
  <si>
    <t>Ayla Brooks</t>
  </si>
  <si>
    <t>11/21/2001</t>
  </si>
  <si>
    <t>E02687</t>
  </si>
  <si>
    <t>Willow Chau</t>
  </si>
  <si>
    <t>E02688</t>
  </si>
  <si>
    <t>Kai Shin</t>
  </si>
  <si>
    <t>12/23/2019</t>
  </si>
  <si>
    <t>E02689</t>
  </si>
  <si>
    <t>Liliana Zhao</t>
  </si>
  <si>
    <t>8/30/2011</t>
  </si>
  <si>
    <t>E02690</t>
  </si>
  <si>
    <t>Aiden Carter</t>
  </si>
  <si>
    <t>6/17/2021</t>
  </si>
  <si>
    <t>E02691</t>
  </si>
  <si>
    <t>Christopher Song</t>
  </si>
  <si>
    <t>E02692</t>
  </si>
  <si>
    <t>Charles Luu</t>
  </si>
  <si>
    <t>E02693</t>
  </si>
  <si>
    <t>Kayden Dinh</t>
  </si>
  <si>
    <t>5/26/2019</t>
  </si>
  <si>
    <t>E02694</t>
  </si>
  <si>
    <t>Valentina Zhang</t>
  </si>
  <si>
    <t>E02695</t>
  </si>
  <si>
    <t>Alexander Perez</t>
  </si>
  <si>
    <t>6/25/2008</t>
  </si>
  <si>
    <t>E02696</t>
  </si>
  <si>
    <t>Everleigh Kumar</t>
  </si>
  <si>
    <t>E02697</t>
  </si>
  <si>
    <t>Santiago f Xiong</t>
  </si>
  <si>
    <t>9/26/2008</t>
  </si>
  <si>
    <t>E02698</t>
  </si>
  <si>
    <t>Elizabeth Powell</t>
  </si>
  <si>
    <t>9/17/2013</t>
  </si>
  <si>
    <t>E02699</t>
  </si>
  <si>
    <t>Lucas Yang</t>
  </si>
  <si>
    <t>E02700</t>
  </si>
  <si>
    <t>John Richardson</t>
  </si>
  <si>
    <t>12/29/2014</t>
  </si>
  <si>
    <t>10/23/2021</t>
  </si>
  <si>
    <t>E02701</t>
  </si>
  <si>
    <t>Miles Ross</t>
  </si>
  <si>
    <t>4/18/2017</t>
  </si>
  <si>
    <t>E02702</t>
  </si>
  <si>
    <t>Jonathan Santos</t>
  </si>
  <si>
    <t>E02703</t>
  </si>
  <si>
    <t>Joshua Maldonado</t>
  </si>
  <si>
    <t>12/22/2005</t>
  </si>
  <si>
    <t>E02704</t>
  </si>
  <si>
    <t>Santiago f Vo</t>
  </si>
  <si>
    <t>E02705</t>
  </si>
  <si>
    <t>Leilani Martin</t>
  </si>
  <si>
    <t>E02706</t>
  </si>
  <si>
    <t>Luca Xiong</t>
  </si>
  <si>
    <t>12/20/2006</t>
  </si>
  <si>
    <t>E02707</t>
  </si>
  <si>
    <t>Valentina Campos</t>
  </si>
  <si>
    <t>E02708</t>
  </si>
  <si>
    <t>Grayson Jenkins</t>
  </si>
  <si>
    <t>E02709</t>
  </si>
  <si>
    <t>Jeremiah Ross</t>
  </si>
  <si>
    <t>E02710</t>
  </si>
  <si>
    <t>Natalie Zheng</t>
  </si>
  <si>
    <t>E02711</t>
  </si>
  <si>
    <t>Jace Mehta</t>
  </si>
  <si>
    <t>E02712</t>
  </si>
  <si>
    <t>Hannah Doan</t>
  </si>
  <si>
    <t>9/16/2011</t>
  </si>
  <si>
    <t>E02713</t>
  </si>
  <si>
    <t>Caroline Robinson</t>
  </si>
  <si>
    <t>1/22/2020</t>
  </si>
  <si>
    <t>E02714</t>
  </si>
  <si>
    <t>Naomi Ma</t>
  </si>
  <si>
    <t>5/16/1995</t>
  </si>
  <si>
    <t>E02715</t>
  </si>
  <si>
    <t>Adam Davis</t>
  </si>
  <si>
    <t>10/15/2019</t>
  </si>
  <si>
    <t>E02716</t>
  </si>
  <si>
    <t>Ellie Ho</t>
  </si>
  <si>
    <t>E02717</t>
  </si>
  <si>
    <t>Mila Liang</t>
  </si>
  <si>
    <t>3/28/2005</t>
  </si>
  <si>
    <t>E02718</t>
  </si>
  <si>
    <t>Nova Doan</t>
  </si>
  <si>
    <t>8/28/2018</t>
  </si>
  <si>
    <t>E02719</t>
  </si>
  <si>
    <t>Colton Mejia</t>
  </si>
  <si>
    <t>4/26/2019</t>
  </si>
  <si>
    <t>9/24/2020</t>
  </si>
  <si>
    <t>E02720</t>
  </si>
  <si>
    <t>Joseph Kim</t>
  </si>
  <si>
    <t>6/23/2018</t>
  </si>
  <si>
    <t>E02721</t>
  </si>
  <si>
    <t>Audrey Campos</t>
  </si>
  <si>
    <t>E02722</t>
  </si>
  <si>
    <t>Vivian Brooks</t>
  </si>
  <si>
    <t>E02723</t>
  </si>
  <si>
    <t>Mateo Vargas</t>
  </si>
  <si>
    <t>4/20/1994</t>
  </si>
  <si>
    <t>E02724</t>
  </si>
  <si>
    <t>David Foster</t>
  </si>
  <si>
    <t>1/15/2012</t>
  </si>
  <si>
    <t>E02725</t>
  </si>
  <si>
    <t>Isaiah Ramos</t>
  </si>
  <si>
    <t>6/21/2018</t>
  </si>
  <si>
    <t>E02726</t>
  </si>
  <si>
    <t>Samantha Do</t>
  </si>
  <si>
    <t>11/19/2021</t>
  </si>
  <si>
    <t>E02727</t>
  </si>
  <si>
    <t>Emery Fernandez</t>
  </si>
  <si>
    <t>3/27/2019</t>
  </si>
  <si>
    <t>E02728</t>
  </si>
  <si>
    <t>Santiago f Brooks</t>
  </si>
  <si>
    <t>1/20/2012</t>
  </si>
  <si>
    <t>E02729</t>
  </si>
  <si>
    <t>Aubrey Lin</t>
  </si>
  <si>
    <t>10/17/2005</t>
  </si>
  <si>
    <t>E02730</t>
  </si>
  <si>
    <t>Jace Hsu</t>
  </si>
  <si>
    <t>E02731</t>
  </si>
  <si>
    <t>Nicholas Sanders</t>
  </si>
  <si>
    <t>11/23/2014</t>
  </si>
  <si>
    <t>E02732</t>
  </si>
  <si>
    <t>Joshua Sun</t>
  </si>
  <si>
    <t>7/13/2011</t>
  </si>
  <si>
    <t>E02733</t>
  </si>
  <si>
    <t>Riley Ayala</t>
  </si>
  <si>
    <t>2/20/2010</t>
  </si>
  <si>
    <t>E02734</t>
  </si>
  <si>
    <t>Isaac Santos</t>
  </si>
  <si>
    <t>9/13/2018</t>
  </si>
  <si>
    <t>E02735</t>
  </si>
  <si>
    <t>Logan Brooks</t>
  </si>
  <si>
    <t>1/25/2023</t>
  </si>
  <si>
    <t>E02736</t>
  </si>
  <si>
    <t>Leilani Hu</t>
  </si>
  <si>
    <t>E02737</t>
  </si>
  <si>
    <t>Jace Cho</t>
  </si>
  <si>
    <t>E02738</t>
  </si>
  <si>
    <t>Jaxson Fong</t>
  </si>
  <si>
    <t>E02739</t>
  </si>
  <si>
    <t>Wyatt Ly</t>
  </si>
  <si>
    <t>12/19/2008</t>
  </si>
  <si>
    <t>E02740</t>
  </si>
  <si>
    <t>Mia Huang</t>
  </si>
  <si>
    <t>9/21/2018</t>
  </si>
  <si>
    <t>E02741</t>
  </si>
  <si>
    <t>Levi Her</t>
  </si>
  <si>
    <t>3/30/2012</t>
  </si>
  <si>
    <t>E02742</t>
  </si>
  <si>
    <t>Everleigh Phillips</t>
  </si>
  <si>
    <t>E02743</t>
  </si>
  <si>
    <t>Natalie Acosta</t>
  </si>
  <si>
    <t>E02744</t>
  </si>
  <si>
    <t>Hadley Chavez</t>
  </si>
  <si>
    <t>6/28/2020</t>
  </si>
  <si>
    <t>E02745</t>
  </si>
  <si>
    <t>Hailey Liu</t>
  </si>
  <si>
    <t>E02746</t>
  </si>
  <si>
    <t>Nicholas Jiang</t>
  </si>
  <si>
    <t>12/13/2003</t>
  </si>
  <si>
    <t>E02747</t>
  </si>
  <si>
    <t>Gabriel Xu</t>
  </si>
  <si>
    <t>10/13/2018</t>
  </si>
  <si>
    <t>E02748</t>
  </si>
  <si>
    <t>Sophia Collins</t>
  </si>
  <si>
    <t>E02749</t>
  </si>
  <si>
    <t>Evelyn Vasquez</t>
  </si>
  <si>
    <t>2/24/2013</t>
  </si>
  <si>
    <t>E02750</t>
  </si>
  <si>
    <t>Paisley Baker</t>
  </si>
  <si>
    <t>12/23/2002</t>
  </si>
  <si>
    <t>E02751</t>
  </si>
  <si>
    <t>Eloise Griffin</t>
  </si>
  <si>
    <t>E02752</t>
  </si>
  <si>
    <t>Samuel Cruz</t>
  </si>
  <si>
    <t>4/30/1993</t>
  </si>
  <si>
    <t>E02753</t>
  </si>
  <si>
    <t>Gabriel Cheung</t>
  </si>
  <si>
    <t>11/29/2016</t>
  </si>
  <si>
    <t>6/26/2018</t>
  </si>
  <si>
    <t>E02754</t>
  </si>
  <si>
    <t>Kai Green</t>
  </si>
  <si>
    <t>6/15/2015</t>
  </si>
  <si>
    <t>E02755</t>
  </si>
  <si>
    <t>Julia Moore</t>
  </si>
  <si>
    <t>11/18/2021</t>
  </si>
  <si>
    <t>E02756</t>
  </si>
  <si>
    <t>Roman Mendoza</t>
  </si>
  <si>
    <t>E02757</t>
  </si>
  <si>
    <t>1/30/2009</t>
  </si>
  <si>
    <t>E02758</t>
  </si>
  <si>
    <t>Sadie Pham</t>
  </si>
  <si>
    <t>12/25/2022</t>
  </si>
  <si>
    <t>E02759</t>
  </si>
  <si>
    <t>Chloe Contreras</t>
  </si>
  <si>
    <t>E02760</t>
  </si>
  <si>
    <t>Owen Ford</t>
  </si>
  <si>
    <t>E02761</t>
  </si>
  <si>
    <t>Audrey Powell</t>
  </si>
  <si>
    <t>E02762</t>
  </si>
  <si>
    <t>Greyson Munoz</t>
  </si>
  <si>
    <t>6/23/2000</t>
  </si>
  <si>
    <t>E02763</t>
  </si>
  <si>
    <t>Isaiah Vang</t>
  </si>
  <si>
    <t>11/30/1998</t>
  </si>
  <si>
    <t>E02764</t>
  </si>
  <si>
    <t>Lincoln Alvarado</t>
  </si>
  <si>
    <t>E02765</t>
  </si>
  <si>
    <t>Carter Sandoval</t>
  </si>
  <si>
    <t>E02766</t>
  </si>
  <si>
    <t>Julia Jimenez</t>
  </si>
  <si>
    <t>11/17/2010</t>
  </si>
  <si>
    <t>E02767</t>
  </si>
  <si>
    <t>Savannah Cortez</t>
  </si>
  <si>
    <t>E02768</t>
  </si>
  <si>
    <t>Everly Brown</t>
  </si>
  <si>
    <t>E02769</t>
  </si>
  <si>
    <t>Charlotte Pham</t>
  </si>
  <si>
    <t>2/25/2003</t>
  </si>
  <si>
    <t>E02770</t>
  </si>
  <si>
    <t>Iris Bailey</t>
  </si>
  <si>
    <t>2/18/2020</t>
  </si>
  <si>
    <t>E02771</t>
  </si>
  <si>
    <t>Logan Daniels</t>
  </si>
  <si>
    <t>E02772</t>
  </si>
  <si>
    <t>Autumn Molina</t>
  </si>
  <si>
    <t>E02773</t>
  </si>
  <si>
    <t>Emma Mehta</t>
  </si>
  <si>
    <t>E02774</t>
  </si>
  <si>
    <t>Julian Joseph</t>
  </si>
  <si>
    <t>9/20/2018</t>
  </si>
  <si>
    <t>E02775</t>
  </si>
  <si>
    <t>Eleanor Munoz</t>
  </si>
  <si>
    <t>E02776</t>
  </si>
  <si>
    <t>E02777</t>
  </si>
  <si>
    <t>Eliza Zhu</t>
  </si>
  <si>
    <t>9/30/2006</t>
  </si>
  <si>
    <t>E02778</t>
  </si>
  <si>
    <t>Greyson Moore</t>
  </si>
  <si>
    <t>E02779</t>
  </si>
  <si>
    <t>Lyla Clark</t>
  </si>
  <si>
    <t>E02780</t>
  </si>
  <si>
    <t>Samuel Patterson</t>
  </si>
  <si>
    <t>E02781</t>
  </si>
  <si>
    <t>Robert Padilla</t>
  </si>
  <si>
    <t>2/16/1998</t>
  </si>
  <si>
    <t>E02782</t>
  </si>
  <si>
    <t>Landon Munoz</t>
  </si>
  <si>
    <t>E02783</t>
  </si>
  <si>
    <t>Josiah Yi</t>
  </si>
  <si>
    <t>E02784</t>
  </si>
  <si>
    <t>Owen Scott</t>
  </si>
  <si>
    <t>7/17/2005</t>
  </si>
  <si>
    <t>E02785</t>
  </si>
  <si>
    <t>Matthew Parker</t>
  </si>
  <si>
    <t>9/15/2021</t>
  </si>
  <si>
    <t>E02786</t>
  </si>
  <si>
    <t>Daniel Huynh</t>
  </si>
  <si>
    <t>E02787</t>
  </si>
  <si>
    <t>Matthew Vargas</t>
  </si>
  <si>
    <t>5/24/1999</t>
  </si>
  <si>
    <t>E02788</t>
  </si>
  <si>
    <t>Ella Herrera</t>
  </si>
  <si>
    <t>E02789</t>
  </si>
  <si>
    <t>Everly Hwang</t>
  </si>
  <si>
    <t>10/27/2022</t>
  </si>
  <si>
    <t>E02790</t>
  </si>
  <si>
    <t>E02791</t>
  </si>
  <si>
    <t>Ian Hernandez</t>
  </si>
  <si>
    <t>E02792</t>
  </si>
  <si>
    <t>Charlotte Lam</t>
  </si>
  <si>
    <t>8/26/2020</t>
  </si>
  <si>
    <t>E02793</t>
  </si>
  <si>
    <t>Jonathan Ali</t>
  </si>
  <si>
    <t>E02794</t>
  </si>
  <si>
    <t>Violet He</t>
  </si>
  <si>
    <t>E02795</t>
  </si>
  <si>
    <t>Hannah Truong</t>
  </si>
  <si>
    <t>3/25/2009</t>
  </si>
  <si>
    <t>E02796</t>
  </si>
  <si>
    <t>Hannah Nelson</t>
  </si>
  <si>
    <t>E02797</t>
  </si>
  <si>
    <t>Autumn Kaur</t>
  </si>
  <si>
    <t>E02798</t>
  </si>
  <si>
    <t>E02799</t>
  </si>
  <si>
    <t>E02800</t>
  </si>
  <si>
    <t>Jameson Salazar</t>
  </si>
  <si>
    <t>E02801</t>
  </si>
  <si>
    <t>5/21/2007</t>
  </si>
  <si>
    <t>E02802</t>
  </si>
  <si>
    <t>Hunter Moua</t>
  </si>
  <si>
    <t>11/29/2019</t>
  </si>
  <si>
    <t>E02803</t>
  </si>
  <si>
    <t>Athena Aguilar</t>
  </si>
  <si>
    <t>8/24/2021</t>
  </si>
  <si>
    <t>E02804</t>
  </si>
  <si>
    <t>Ariana Sanders</t>
  </si>
  <si>
    <t>12/26/1994</t>
  </si>
  <si>
    <t>E02805</t>
  </si>
  <si>
    <t>Easton Cruz</t>
  </si>
  <si>
    <t>11/21/2016</t>
  </si>
  <si>
    <t>E02806</t>
  </si>
  <si>
    <t>Josiah Vega</t>
  </si>
  <si>
    <t>12/26/2015</t>
  </si>
  <si>
    <t>E02807</t>
  </si>
  <si>
    <t>Isla Chavez</t>
  </si>
  <si>
    <t>9/29/2010</t>
  </si>
  <si>
    <t>E02808</t>
  </si>
  <si>
    <t>Willow Estrada</t>
  </si>
  <si>
    <t>E02809</t>
  </si>
  <si>
    <t>Nevaeh Ng</t>
  </si>
  <si>
    <t>3/18/2019</t>
  </si>
  <si>
    <t>8/29/2022</t>
  </si>
  <si>
    <t>E02810</t>
  </si>
  <si>
    <t>12/15/2001</t>
  </si>
  <si>
    <t>E02811</t>
  </si>
  <si>
    <t>Henry Vazquez</t>
  </si>
  <si>
    <t>E02812</t>
  </si>
  <si>
    <t>Nathan Jackson</t>
  </si>
  <si>
    <t>3/25/2011</t>
  </si>
  <si>
    <t>E02813</t>
  </si>
  <si>
    <t>Anthony Lam</t>
  </si>
  <si>
    <t>E02814</t>
  </si>
  <si>
    <t>Nevaeh Ali</t>
  </si>
  <si>
    <t>3/22/2013</t>
  </si>
  <si>
    <t>E02815</t>
  </si>
  <si>
    <t>Mila Vasquez</t>
  </si>
  <si>
    <t>7/26/2013</t>
  </si>
  <si>
    <t>E02816</t>
  </si>
  <si>
    <t>Madelyn Henry</t>
  </si>
  <si>
    <t>E02817</t>
  </si>
  <si>
    <t>Emilia Alexander</t>
  </si>
  <si>
    <t>E02818</t>
  </si>
  <si>
    <t>Christian Ayala</t>
  </si>
  <si>
    <t>9/28/2003</t>
  </si>
  <si>
    <t>E02819</t>
  </si>
  <si>
    <t>Willow Xiong</t>
  </si>
  <si>
    <t>E02820</t>
  </si>
  <si>
    <t>Avery Valdez</t>
  </si>
  <si>
    <t>1/29/2000</t>
  </si>
  <si>
    <t>E02821</t>
  </si>
  <si>
    <t>Abigail Carter</t>
  </si>
  <si>
    <t>Madison Patel</t>
  </si>
  <si>
    <t>10/26/2013</t>
  </si>
  <si>
    <t>E02823</t>
  </si>
  <si>
    <t>E02824</t>
  </si>
  <si>
    <t>Kinsley Hill</t>
  </si>
  <si>
    <t>E02825</t>
  </si>
  <si>
    <t>Kai Barnes</t>
  </si>
  <si>
    <t>8/24/2016</t>
  </si>
  <si>
    <t>E02826</t>
  </si>
  <si>
    <t>Lincoln Cheng</t>
  </si>
  <si>
    <t>10/14/1997</t>
  </si>
  <si>
    <t>E02827</t>
  </si>
  <si>
    <t>Noah Sharma</t>
  </si>
  <si>
    <t>E02828</t>
  </si>
  <si>
    <t>E02829</t>
  </si>
  <si>
    <t>Ariana Hall</t>
  </si>
  <si>
    <t>1/17/2005</t>
  </si>
  <si>
    <t>E02830</t>
  </si>
  <si>
    <t>5/22/1999</t>
  </si>
  <si>
    <t>E02832</t>
  </si>
  <si>
    <t>Kinsley Gonzalez</t>
  </si>
  <si>
    <t>1/27/2000</t>
  </si>
  <si>
    <t>E02833</t>
  </si>
  <si>
    <t>Dominic Tang</t>
  </si>
  <si>
    <t>E02834</t>
  </si>
  <si>
    <t>Colton Le</t>
  </si>
  <si>
    <t>E02835</t>
  </si>
  <si>
    <t>Kai Huang</t>
  </si>
  <si>
    <t>1/15/2021</t>
  </si>
  <si>
    <t>E02836</t>
  </si>
  <si>
    <t>Addison Cruz</t>
  </si>
  <si>
    <t>E02837</t>
  </si>
  <si>
    <t>10/23/2022</t>
  </si>
  <si>
    <t>E02838</t>
  </si>
  <si>
    <t>Maria Barnes</t>
  </si>
  <si>
    <t>5/13/2003</t>
  </si>
  <si>
    <t>E02839</t>
  </si>
  <si>
    <t>E02840</t>
  </si>
  <si>
    <t>Mia Vang</t>
  </si>
  <si>
    <t>4/19/2014</t>
  </si>
  <si>
    <t>8/28/2019</t>
  </si>
  <si>
    <t>E02841</t>
  </si>
  <si>
    <t>2/16/2020</t>
  </si>
  <si>
    <t>Parker Desai</t>
  </si>
  <si>
    <t>E02843</t>
  </si>
  <si>
    <t>E02844</t>
  </si>
  <si>
    <t>Adam Jordan</t>
  </si>
  <si>
    <t>E02845</t>
  </si>
  <si>
    <t>Leah Stewart</t>
  </si>
  <si>
    <t>E02846</t>
  </si>
  <si>
    <t>Robert Santos</t>
  </si>
  <si>
    <t>12/29/2000</t>
  </si>
  <si>
    <t>10/26/2015</t>
  </si>
  <si>
    <t>E02847</t>
  </si>
  <si>
    <t>Addison Ma</t>
  </si>
  <si>
    <t>5/21/2008</t>
  </si>
  <si>
    <t>E02848</t>
  </si>
  <si>
    <t>Clara Collins</t>
  </si>
  <si>
    <t>E02849</t>
  </si>
  <si>
    <t>Stella Castro</t>
  </si>
  <si>
    <t>4/17/2009</t>
  </si>
  <si>
    <t>E02850</t>
  </si>
  <si>
    <t>Lucy Chin</t>
  </si>
  <si>
    <t>4/22/2011</t>
  </si>
  <si>
    <t>E02851</t>
  </si>
  <si>
    <t>Piper Evans</t>
  </si>
  <si>
    <t>1/28/2014</t>
  </si>
  <si>
    <t>E02852</t>
  </si>
  <si>
    <t>Cora Coleman</t>
  </si>
  <si>
    <t>E02853</t>
  </si>
  <si>
    <t>Cora Holmes</t>
  </si>
  <si>
    <t>E02854</t>
  </si>
  <si>
    <t>Leo Figueroa</t>
  </si>
  <si>
    <t>1/21/2015</t>
  </si>
  <si>
    <t>E02855</t>
  </si>
  <si>
    <t>Allison Wang</t>
  </si>
  <si>
    <t>E02856</t>
  </si>
  <si>
    <t>Levi Cruz</t>
  </si>
  <si>
    <t>9/22/2007</t>
  </si>
  <si>
    <t>E02857</t>
  </si>
  <si>
    <t>Iris Phillips</t>
  </si>
  <si>
    <t>11/28/2019</t>
  </si>
  <si>
    <t>E02858</t>
  </si>
  <si>
    <t>Madelyn Chavez</t>
  </si>
  <si>
    <t>E02859</t>
  </si>
  <si>
    <t>Caroline Smith</t>
  </si>
  <si>
    <t>4/27/2020</t>
  </si>
  <si>
    <t>E02860</t>
  </si>
  <si>
    <t>Grayson Lai</t>
  </si>
  <si>
    <t>E02861</t>
  </si>
  <si>
    <t>Anna Guerrero</t>
  </si>
  <si>
    <t>11/24/2012</t>
  </si>
  <si>
    <t>E02862</t>
  </si>
  <si>
    <t>Paisley Bell</t>
  </si>
  <si>
    <t>E02863</t>
  </si>
  <si>
    <t>Jose Park</t>
  </si>
  <si>
    <t>E02864</t>
  </si>
  <si>
    <t>Eliza Parker</t>
  </si>
  <si>
    <t>3/24/2010</t>
  </si>
  <si>
    <t>E02865</t>
  </si>
  <si>
    <t>8/25/2022</t>
  </si>
  <si>
    <t>E02866</t>
  </si>
  <si>
    <t>Melody Yoon</t>
  </si>
  <si>
    <t>10/15/2014</t>
  </si>
  <si>
    <t>E02867</t>
  </si>
  <si>
    <t>Avery Smith</t>
  </si>
  <si>
    <t>6/27/2008</t>
  </si>
  <si>
    <t>E02868</t>
  </si>
  <si>
    <t>Madeline Vu</t>
  </si>
  <si>
    <t>E02869</t>
  </si>
  <si>
    <t>Aubrey Cheng</t>
  </si>
  <si>
    <t>6/17/2001</t>
  </si>
  <si>
    <t>E02870</t>
  </si>
  <si>
    <t>Clara Henderson</t>
  </si>
  <si>
    <t>E02871</t>
  </si>
  <si>
    <t>Jace Henderson</t>
  </si>
  <si>
    <t>E02872</t>
  </si>
  <si>
    <t>Caroline Martin</t>
  </si>
  <si>
    <t>E02873</t>
  </si>
  <si>
    <t>Asher Bui</t>
  </si>
  <si>
    <t>1/27/2009</t>
  </si>
  <si>
    <t>E02874</t>
  </si>
  <si>
    <t>Samantha Chau</t>
  </si>
  <si>
    <t>E02875</t>
  </si>
  <si>
    <t>Charles Robinson</t>
  </si>
  <si>
    <t>6/30/2006</t>
  </si>
  <si>
    <t>E02876</t>
  </si>
  <si>
    <t>Jonathan Nelson</t>
  </si>
  <si>
    <t>E02877</t>
  </si>
  <si>
    <t>Liliana Simmons</t>
  </si>
  <si>
    <t>E02878</t>
  </si>
  <si>
    <t>Logan Ortega</t>
  </si>
  <si>
    <t>5/19/2020</t>
  </si>
  <si>
    <t>E02879</t>
  </si>
  <si>
    <t>Isaac Jung</t>
  </si>
  <si>
    <t>E02880</t>
  </si>
  <si>
    <t>E02881</t>
  </si>
  <si>
    <t>Levi Gonzalez</t>
  </si>
  <si>
    <t>4/27/2012</t>
  </si>
  <si>
    <t>E02882</t>
  </si>
  <si>
    <t>Santiago f Wang</t>
  </si>
  <si>
    <t>E02883</t>
  </si>
  <si>
    <t>Julia Kim</t>
  </si>
  <si>
    <t>E02884</t>
  </si>
  <si>
    <t>Noah Allen</t>
  </si>
  <si>
    <t>E02885</t>
  </si>
  <si>
    <t>Colton Adams</t>
  </si>
  <si>
    <t>E02886</t>
  </si>
  <si>
    <t>Colton Mehta</t>
  </si>
  <si>
    <t>E02887</t>
  </si>
  <si>
    <t>Caroline Gomez</t>
  </si>
  <si>
    <t>11/19/1997</t>
  </si>
  <si>
    <t>E02888</t>
  </si>
  <si>
    <t>Kayden Tang</t>
  </si>
  <si>
    <t>E02889</t>
  </si>
  <si>
    <t>Hadley Parker</t>
  </si>
  <si>
    <t>E02890</t>
  </si>
  <si>
    <t>Elizabeth Estrada</t>
  </si>
  <si>
    <t>12/20/2016</t>
  </si>
  <si>
    <t>E02891</t>
  </si>
  <si>
    <t>Sofia Yee</t>
  </si>
  <si>
    <t>12/25/2018</t>
  </si>
  <si>
    <t>E02892</t>
  </si>
  <si>
    <t>Asher Mendoza</t>
  </si>
  <si>
    <t>2/21/2014</t>
  </si>
  <si>
    <t>E02893</t>
  </si>
  <si>
    <t>Jordan Hernandez</t>
  </si>
  <si>
    <t>12/15/2003</t>
  </si>
  <si>
    <t>E02894</t>
  </si>
  <si>
    <t>Everleigh Tan</t>
  </si>
  <si>
    <t>3/28/2019</t>
  </si>
  <si>
    <t>E02895</t>
  </si>
  <si>
    <t>Joshua Hall</t>
  </si>
  <si>
    <t>E02896</t>
  </si>
  <si>
    <t>Stella Gupta</t>
  </si>
  <si>
    <t>E02897</t>
  </si>
  <si>
    <t>Levi White</t>
  </si>
  <si>
    <t>7/19/2018</t>
  </si>
  <si>
    <t>E02898</t>
  </si>
  <si>
    <t>Matthew Jackson</t>
  </si>
  <si>
    <t>10/13/2019</t>
  </si>
  <si>
    <t>E02899</t>
  </si>
  <si>
    <t>Dominic Martinez</t>
  </si>
  <si>
    <t>E02900</t>
  </si>
  <si>
    <t>Aiden Aguilar</t>
  </si>
  <si>
    <t>E02901</t>
  </si>
  <si>
    <t>Victoria Hu</t>
  </si>
  <si>
    <t>4/21/2017</t>
  </si>
  <si>
    <t>E02902</t>
  </si>
  <si>
    <t>Eloise Campos</t>
  </si>
  <si>
    <t>6/25/1993</t>
  </si>
  <si>
    <t>7/29/2008</t>
  </si>
  <si>
    <t>E02903</t>
  </si>
  <si>
    <t>Emilia Alvarado</t>
  </si>
  <si>
    <t>6/29/2001</t>
  </si>
  <si>
    <t>E02904</t>
  </si>
  <si>
    <t>Lydia Ahmed</t>
  </si>
  <si>
    <t>4/24/2017</t>
  </si>
  <si>
    <t>E02905</t>
  </si>
  <si>
    <t>Dylan Simmons</t>
  </si>
  <si>
    <t>5/23/2002</t>
  </si>
  <si>
    <t>E02906</t>
  </si>
  <si>
    <t>Jaxson Chu</t>
  </si>
  <si>
    <t>E02907</t>
  </si>
  <si>
    <t>Ariana Griffin</t>
  </si>
  <si>
    <t>E02908</t>
  </si>
  <si>
    <t>Hudson Bailey</t>
  </si>
  <si>
    <t>E02909</t>
  </si>
  <si>
    <t>Colton Grant</t>
  </si>
  <si>
    <t>5/31/2017</t>
  </si>
  <si>
    <t>E02910</t>
  </si>
  <si>
    <t>Emery Flores</t>
  </si>
  <si>
    <t>11/18/2005</t>
  </si>
  <si>
    <t>E02911</t>
  </si>
  <si>
    <t>Gabriella Wong</t>
  </si>
  <si>
    <t>E02912</t>
  </si>
  <si>
    <t>Ian Gonzales</t>
  </si>
  <si>
    <t>E02913</t>
  </si>
  <si>
    <t>Jaxon Wright</t>
  </si>
  <si>
    <t>8/30/2004</t>
  </si>
  <si>
    <t>E02914</t>
  </si>
  <si>
    <t>Ethan Cruz</t>
  </si>
  <si>
    <t>4/28/2000</t>
  </si>
  <si>
    <t>E02915</t>
  </si>
  <si>
    <t>Adrian James</t>
  </si>
  <si>
    <t>8/15/1994</t>
  </si>
  <si>
    <t>E02916</t>
  </si>
  <si>
    <t>Isabella Mejia</t>
  </si>
  <si>
    <t>E02917</t>
  </si>
  <si>
    <t>Christopher Miller</t>
  </si>
  <si>
    <t>5/16/2009</t>
  </si>
  <si>
    <t>E02918</t>
  </si>
  <si>
    <t>Samuel Watson</t>
  </si>
  <si>
    <t>E02919</t>
  </si>
  <si>
    <t>Lucy Phan</t>
  </si>
  <si>
    <t>2/18/2021</t>
  </si>
  <si>
    <t>E02920</t>
  </si>
  <si>
    <t>Dominic Thao</t>
  </si>
  <si>
    <t>E02921</t>
  </si>
  <si>
    <t>Jaxon Shin</t>
  </si>
  <si>
    <t>12/27/2010</t>
  </si>
  <si>
    <t>E02922</t>
  </si>
  <si>
    <t>Nevaeh Diaz</t>
  </si>
  <si>
    <t>E02923</t>
  </si>
  <si>
    <t>7/18/2021</t>
  </si>
  <si>
    <t>E02924</t>
  </si>
  <si>
    <t>E02925</t>
  </si>
  <si>
    <t>E02926</t>
  </si>
  <si>
    <t>10/19/2015</t>
  </si>
  <si>
    <t>E02927</t>
  </si>
  <si>
    <t>E02928</t>
  </si>
  <si>
    <t>E02929</t>
  </si>
  <si>
    <t>5/13/2021</t>
  </si>
  <si>
    <t>E02930</t>
  </si>
  <si>
    <t>E02931</t>
  </si>
  <si>
    <t>4/20/2014</t>
  </si>
  <si>
    <t>E02932</t>
  </si>
  <si>
    <t>E02933</t>
  </si>
  <si>
    <t>E02934</t>
  </si>
  <si>
    <t>E02935</t>
  </si>
  <si>
    <t>Everleigh Castillo</t>
  </si>
  <si>
    <t>E02936</t>
  </si>
  <si>
    <t>Valentina Fernandez</t>
  </si>
  <si>
    <t>1/23/2012</t>
  </si>
  <si>
    <t>E02937</t>
  </si>
  <si>
    <t>Serenity Richardson</t>
  </si>
  <si>
    <t>3/14/2019</t>
  </si>
  <si>
    <t>E02938</t>
  </si>
  <si>
    <t>Cooper Ramirez</t>
  </si>
  <si>
    <t>E02939</t>
  </si>
  <si>
    <t>Penelope Avila</t>
  </si>
  <si>
    <t>5/22/2012</t>
  </si>
  <si>
    <t>E02940</t>
  </si>
  <si>
    <t>David Barnes</t>
  </si>
  <si>
    <t>8/19/2006</t>
  </si>
  <si>
    <t>E02941</t>
  </si>
  <si>
    <t>Ivy Luong</t>
  </si>
  <si>
    <t>E02942</t>
  </si>
  <si>
    <t>Aurora Bailey</t>
  </si>
  <si>
    <t>5/23/2020</t>
  </si>
  <si>
    <t>Valentina Valdez</t>
  </si>
  <si>
    <t>Parker Dinh</t>
  </si>
  <si>
    <t>6/28/2006</t>
  </si>
  <si>
    <t>Eliana Hsu</t>
  </si>
  <si>
    <t>Logan Parker</t>
  </si>
  <si>
    <t>1/13/2019</t>
  </si>
  <si>
    <t>E02947</t>
  </si>
  <si>
    <t>Liliana Green</t>
  </si>
  <si>
    <t>E02948</t>
  </si>
  <si>
    <t>Victoria Vazquez</t>
  </si>
  <si>
    <t>E02949</t>
  </si>
  <si>
    <t>Kinsley Huynh</t>
  </si>
  <si>
    <t>E02950</t>
  </si>
  <si>
    <t>Anna Carrillo</t>
  </si>
  <si>
    <t>8/22/2016</t>
  </si>
  <si>
    <t>E02951</t>
  </si>
  <si>
    <t>Isla Singh</t>
  </si>
  <si>
    <t>E02952</t>
  </si>
  <si>
    <t>Emma Yu</t>
  </si>
  <si>
    <t>E02953</t>
  </si>
  <si>
    <t>E02954</t>
  </si>
  <si>
    <t>E02955</t>
  </si>
  <si>
    <t>E02956</t>
  </si>
  <si>
    <t>E02957</t>
  </si>
  <si>
    <t>10/15/1999</t>
  </si>
  <si>
    <t>2/28/2018</t>
  </si>
  <si>
    <t>E02958</t>
  </si>
  <si>
    <t>E02959</t>
  </si>
  <si>
    <t>5/19/2011</t>
  </si>
  <si>
    <t>Brooks Ngo</t>
  </si>
  <si>
    <t>E02962</t>
  </si>
  <si>
    <t>Piper Oh</t>
  </si>
  <si>
    <t>1/23/1996</t>
  </si>
  <si>
    <t>E02963</t>
  </si>
  <si>
    <t>Hunter Molina</t>
  </si>
  <si>
    <t>2/20/2018</t>
  </si>
  <si>
    <t>E02964</t>
  </si>
  <si>
    <t>Michael Hoang</t>
  </si>
  <si>
    <t>E02965</t>
  </si>
  <si>
    <t>Eloise Sun</t>
  </si>
  <si>
    <t>E02966</t>
  </si>
  <si>
    <t>Gianna Jimenez</t>
  </si>
  <si>
    <t>11/26/2015</t>
  </si>
  <si>
    <t>E02967</t>
  </si>
  <si>
    <t>Ava Chan</t>
  </si>
  <si>
    <t>E02968</t>
  </si>
  <si>
    <t>Leilani Navarro</t>
  </si>
  <si>
    <t>E02969</t>
  </si>
  <si>
    <t>Lydia Chu</t>
  </si>
  <si>
    <t>E02970</t>
  </si>
  <si>
    <t>Liam Salazar</t>
  </si>
  <si>
    <t>10/25/2020</t>
  </si>
  <si>
    <t>E02971</t>
  </si>
  <si>
    <t>Hailey Henderson</t>
  </si>
  <si>
    <t>8/13/2008</t>
  </si>
  <si>
    <t>E02972</t>
  </si>
  <si>
    <t>Austin Espinoza</t>
  </si>
  <si>
    <t>3/17/2006</t>
  </si>
  <si>
    <t>E02973</t>
  </si>
  <si>
    <t>Delilah Ng</t>
  </si>
  <si>
    <t>8/20/2008</t>
  </si>
  <si>
    <t>E02974</t>
  </si>
  <si>
    <t>Gabriella Han</t>
  </si>
  <si>
    <t>1/22/2000</t>
  </si>
  <si>
    <t>E02975</t>
  </si>
  <si>
    <t>Aria Miller</t>
  </si>
  <si>
    <t>Sofia Dixon</t>
  </si>
  <si>
    <t>9/13/2011</t>
  </si>
  <si>
    <t>Ethan Xiong</t>
  </si>
  <si>
    <t>Gabriella Cruz</t>
  </si>
  <si>
    <t>8/13/2020</t>
  </si>
  <si>
    <t>E02979</t>
  </si>
  <si>
    <t>E02980</t>
  </si>
  <si>
    <t>10/17/2015</t>
  </si>
  <si>
    <t>Colton Bui</t>
  </si>
  <si>
    <t>12/20/2018</t>
  </si>
  <si>
    <t>E02984</t>
  </si>
  <si>
    <t>Logan Rahman</t>
  </si>
  <si>
    <t>Henry Rogers</t>
  </si>
  <si>
    <t>E02987</t>
  </si>
  <si>
    <t>Delilah Cheng</t>
  </si>
  <si>
    <t>E02988</t>
  </si>
  <si>
    <t>Caroline Rodriguez</t>
  </si>
  <si>
    <t>E02989</t>
  </si>
  <si>
    <t>Jack Chin</t>
  </si>
  <si>
    <t>E02990</t>
  </si>
  <si>
    <t>Luna Collins</t>
  </si>
  <si>
    <t>E02991</t>
  </si>
  <si>
    <t>John Campos</t>
  </si>
  <si>
    <t>E02992</t>
  </si>
  <si>
    <t>E02993</t>
  </si>
  <si>
    <t>Miles Liu</t>
  </si>
  <si>
    <t>5/25/2021</t>
  </si>
  <si>
    <t>E02994</t>
  </si>
  <si>
    <t>Violet Duong</t>
  </si>
  <si>
    <t>9/22/2014</t>
  </si>
  <si>
    <t>E02995</t>
  </si>
  <si>
    <t>Isaac Xiong</t>
  </si>
  <si>
    <t>10/28/2012</t>
  </si>
  <si>
    <t>E02996</t>
  </si>
  <si>
    <t>Ian Le</t>
  </si>
  <si>
    <t>8/28/2007</t>
  </si>
  <si>
    <t>E02997</t>
  </si>
  <si>
    <t>Melody Delgado</t>
  </si>
  <si>
    <t>11/28/2012</t>
  </si>
  <si>
    <t>E02998</t>
  </si>
  <si>
    <t>Eliza Bui</t>
  </si>
  <si>
    <t>6/13/2010</t>
  </si>
  <si>
    <t>E02999</t>
  </si>
  <si>
    <t>Layla Wu</t>
  </si>
  <si>
    <t>8/27/2018</t>
  </si>
  <si>
    <t>E03000</t>
  </si>
  <si>
    <t>Thomas Lam</t>
  </si>
  <si>
    <t>E03001</t>
  </si>
  <si>
    <t>Willow Taylor</t>
  </si>
  <si>
    <t>Madelyn Yee</t>
  </si>
  <si>
    <t>Elena Jimenez</t>
  </si>
  <si>
    <t>Sadie Ali</t>
  </si>
  <si>
    <t>E02960</t>
  </si>
  <si>
    <t>Lucas Sandoval</t>
  </si>
  <si>
    <t>E02961</t>
  </si>
  <si>
    <t>Easton Truong</t>
  </si>
  <si>
    <t>Sebastian Vargas</t>
  </si>
  <si>
    <t>Joseph Dang</t>
  </si>
  <si>
    <t>Madison White</t>
  </si>
  <si>
    <t>Valentina Nelson</t>
  </si>
  <si>
    <t>12/16/2013</t>
  </si>
  <si>
    <t>Everleigh Coleman</t>
  </si>
  <si>
    <t>3/20/2012</t>
  </si>
  <si>
    <t>Christopher Desai</t>
  </si>
  <si>
    <t>PRESS - F5 THEN OPEN OPTION THEN CLICK SPECIAL AND SELECT BLANK AND OKAY AFTER THAT : PRESS: CTRL and - THEN OPEN OPTION TO SELECT AND DELETE</t>
  </si>
  <si>
    <t>REMOVE DUPLICATE</t>
  </si>
  <si>
    <t>GO TO DATA AND LOOK REMOVE DUPLICATES</t>
  </si>
  <si>
    <t>CREATE THIS DROPDOWN FIRST GO TO DATA AND SELECT DATA VALIDATION AND SELECT LIST AND ALSO SELECT WHICH YOU WANT TO MAKE AS A DROPDOWN</t>
  </si>
  <si>
    <t>Suprise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</si>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</sst>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 [$₹-4009]\ * #,##0.00_ ;_ [$₹-4009]\ * \-#,##0.00_ ;_ [$₹-4009]\ * &quot;-&quot;??_ ;_ @_ 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6"/>
      <color theme="0" tint="-4.9989318521683403E-2"/>
      <name val="Calibri"/>
      <charset val="134"/>
      <scheme val="minor"/>
    </font>
    <font>
      <sz val="11"/>
      <color theme="0" tint="-4.9989318521683403E-2"/>
      <name val="Calibri"/>
      <charset val="134"/>
      <scheme val="minor"/>
    </font>
    <font>
      <b/>
      <sz val="12"/>
      <color theme="0" tint="-4.9989318521683403E-2"/>
      <name val="Calibri"/>
      <charset val="134"/>
      <scheme val="minor"/>
    </font>
    <font>
      <b/>
      <sz val="11"/>
      <color theme="0" tint="-4.9989318521683403E-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theme="9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4" fontId="0" fillId="0" borderId="0" xfId="0" applyNumberFormat="1"/>
    <xf numFmtId="22" fontId="0" fillId="0" borderId="0" xfId="0" applyNumberFormat="1"/>
    <xf numFmtId="0" fontId="5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  <xf numFmtId="14" fontId="5" fillId="0" borderId="0" xfId="0" applyNumberFormat="1" applyFont="1" applyFill="1" applyBorder="1" applyAlignment="1" applyProtection="1">
      <alignment vertical="center"/>
    </xf>
    <xf numFmtId="3" fontId="5" fillId="0" borderId="0" xfId="0" applyNumberFormat="1" applyFont="1" applyFill="1" applyBorder="1" applyAlignment="1" applyProtection="1">
      <alignment vertical="center"/>
    </xf>
    <xf numFmtId="9" fontId="5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/>
    </xf>
    <xf numFmtId="0" fontId="0" fillId="0" borderId="1" xfId="0" applyNumberFormat="1" applyFont="1" applyBorder="1"/>
    <xf numFmtId="0" fontId="0" fillId="2" borderId="1" xfId="0" applyNumberFormat="1" applyFont="1" applyFill="1" applyBorder="1"/>
    <xf numFmtId="0" fontId="0" fillId="3" borderId="0" xfId="0" applyFill="1"/>
    <xf numFmtId="164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0" borderId="0" xfId="0" applyAlignment="1">
      <alignment wrapText="1"/>
    </xf>
    <xf numFmtId="0" fontId="0" fillId="4" borderId="3" xfId="0" applyFont="1" applyFill="1" applyBorder="1"/>
    <xf numFmtId="0" fontId="0" fillId="0" borderId="3" xfId="0" applyFont="1" applyBorder="1"/>
    <xf numFmtId="0" fontId="0" fillId="0" borderId="0" xfId="0" applyAlignment="1">
      <alignment vertical="top"/>
    </xf>
    <xf numFmtId="0" fontId="0" fillId="0" borderId="4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165" fontId="0" fillId="0" borderId="0" xfId="1" applyNumberFormat="1" applyFont="1"/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165" fontId="0" fillId="0" borderId="0" xfId="1" applyNumberFormat="1" applyFont="1" applyBorder="1"/>
    <xf numFmtId="0" fontId="13" fillId="5" borderId="0" xfId="0" applyFont="1" applyFill="1"/>
    <xf numFmtId="0" fontId="12" fillId="6" borderId="3" xfId="0" applyFont="1" applyFill="1" applyBorder="1" applyAlignment="1">
      <alignment horizontal="left" vertical="top"/>
    </xf>
    <xf numFmtId="0" fontId="12" fillId="5" borderId="0" xfId="0" applyFont="1" applyFill="1"/>
    <xf numFmtId="0" fontId="14" fillId="6" borderId="5" xfId="0" applyFont="1" applyFill="1" applyBorder="1" applyAlignment="1">
      <alignment horizontal="left" vertical="top"/>
    </xf>
    <xf numFmtId="165" fontId="0" fillId="4" borderId="3" xfId="1" applyNumberFormat="1" applyFont="1" applyFill="1" applyBorder="1" applyAlignment="1">
      <alignment horizontal="right" vertical="top"/>
    </xf>
    <xf numFmtId="14" fontId="15" fillId="0" borderId="0" xfId="0" applyNumberFormat="1" applyFont="1"/>
    <xf numFmtId="0" fontId="15" fillId="0" borderId="0" xfId="0" applyFont="1"/>
    <xf numFmtId="0" fontId="11" fillId="0" borderId="0" xfId="0" applyFont="1"/>
    <xf numFmtId="165" fontId="0" fillId="0" borderId="3" xfId="1" applyNumberFormat="1" applyFont="1" applyBorder="1"/>
    <xf numFmtId="165" fontId="0" fillId="4" borderId="3" xfId="1" applyNumberFormat="1" applyFont="1" applyFill="1" applyBorder="1"/>
    <xf numFmtId="0" fontId="1" fillId="0" borderId="0" xfId="0" applyFont="1"/>
    <xf numFmtId="0" fontId="11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0000000}" autoFormatId="16" applyNumberFormats="0" applyBorderFormats="0" applyFontFormats="1" applyPatternFormats="1" applyAlignmentFormats="0" applyWidthHeightFormats="0">
  <queryTableRefresh nextId="14">
    <queryTableFields count="13">
      <queryTableField id="1" name="customerNumber" tableColumnId="1"/>
      <queryTableField id="2" name="customerName" tableColumnId="2"/>
      <queryTableField id="3" name="contactLastName" tableColumnId="3"/>
      <queryTableField id="4" name="contactFirstName" tableColumnId="4"/>
      <queryTableField id="5" name="phone" tableColumnId="5"/>
      <queryTableField id="6" name="addressLine1" tableColumnId="6"/>
      <queryTableField id="7" name="addressLine2" tableColumnId="7"/>
      <queryTableField id="8" name="city" tableColumnId="8"/>
      <queryTableField id="9" name="state" tableColumnId="9"/>
      <queryTableField id="10" name="postalCode" tableColumnId="10"/>
      <queryTableField id="11" name="country" tableColumnId="11"/>
      <queryTableField id="12" name="salesRepEmployeeNumber" tableColumnId="12"/>
      <queryTableField id="13" name="creditLimi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400-000001000000}" autoFormatId="16" applyNumberFormats="0" applyBorderFormats="0" applyFontFormats="1" applyPatternFormats="1" applyAlignmentFormats="0" applyWidthHeightFormats="0">
  <queryTableRefresh nextId="9">
    <queryTableFields count="8">
      <queryTableField id="1" name="employeeNumber" tableColumnId="1"/>
      <queryTableField id="2" name="lastName" tableColumnId="2"/>
      <queryTableField id="3" name="firstName" tableColumnId="3"/>
      <queryTableField id="4" name="extension" tableColumnId="4"/>
      <queryTableField id="5" name="email" tableColumnId="5"/>
      <queryTableField id="6" name="officeCode" tableColumnId="6"/>
      <queryTableField id="7" name="reportsTo" tableColumnId="7"/>
      <queryTableField id="8" name="jobTitl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FA9D3C-6573-445B-BFDB-2C36C9080B67}" autoFormatId="16" applyNumberFormats="0" applyBorderFormats="0" applyFontFormats="0" applyPatternFormats="0" applyAlignmentFormats="0" applyWidthHeightFormats="0">
  <queryTableRefresh nextId="15">
    <queryTableFields count="14">
      <queryTableField id="1" name="E_ID" tableColumnId="1"/>
      <queryTableField id="2" name="Full Name" tableColumnId="2"/>
      <queryTableField id="3" name="Job Title" tableColumnId="3"/>
      <queryTableField id="4" name="Department" tableColumnId="4"/>
      <queryTableField id="5" name="Business Unit" tableColumnId="5"/>
      <queryTableField id="6" name="Gender" tableColumnId="6"/>
      <queryTableField id="7" name="Ethnicity" tableColumnId="7"/>
      <queryTableField id="8" name="Age" tableColumnId="8"/>
      <queryTableField id="9" name="Hire Date" tableColumnId="9"/>
      <queryTableField id="10" name="Annual_Salary" tableColumnId="10"/>
      <queryTableField id="11" name="Bonus %" tableColumnId="11"/>
      <queryTableField id="12" name="Country" tableColumnId="12"/>
      <queryTableField id="13" name="City" tableColumnId="13"/>
      <queryTableField id="14" name="Exit Date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F3B919-BDCB-4CBA-900F-AB0CF4DD2430}" autoFormatId="16" applyNumberFormats="0" applyBorderFormats="0" applyFontFormats="0" applyPatternFormats="0" applyAlignmentFormats="0" applyWidthHeightFormats="0">
  <queryTableRefresh nextId="15">
    <queryTableFields count="14">
      <queryTableField id="1" name="customerNumber" tableColumnId="1"/>
      <queryTableField id="2" name="customerName" tableColumnId="2"/>
      <queryTableField id="3" name="contactLastName" tableColumnId="3"/>
      <queryTableField id="4" name="contactFirstName" tableColumnId="4"/>
      <queryTableField id="5" name="phone" tableColumnId="5"/>
      <queryTableField id="6" name="addressLine1" tableColumnId="6"/>
      <queryTableField id="7" name="addressLine2" tableColumnId="7"/>
      <queryTableField id="8" name="city" tableColumnId="8"/>
      <queryTableField id="9" name="state" tableColumnId="9"/>
      <queryTableField id="10" name="postalCode" tableColumnId="10"/>
      <queryTableField id="11" name="country" tableColumnId="11"/>
      <queryTableField id="12" name="salesRepEmployeeNumber" tableColumnId="12"/>
      <queryTableField id="13" name="creditLimit" tableColumnId="13"/>
      <queryTableField id="14" name="Suprise" tableColumnId="1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5:G16" totalsRowShown="0">
  <autoFilter ref="C5:G16" xr:uid="{00000000-0009-0000-0100-000001000000}"/>
  <sortState xmlns:xlrd2="http://schemas.microsoft.com/office/spreadsheetml/2017/richdata2" ref="C5:G16">
    <sortCondition ref="D6:D16"/>
    <sortCondition ref="F6:F16"/>
  </sortState>
  <tableColumns count="5">
    <tableColumn id="1" xr3:uid="{00000000-0010-0000-0000-000001000000}" name="Date"/>
    <tableColumn id="2" xr3:uid="{00000000-0010-0000-0000-000002000000}" name="Category"/>
    <tableColumn id="3" xr3:uid="{00000000-0010-0000-0000-000003000000}" name="Sub-Category"/>
    <tableColumn id="4" xr3:uid="{00000000-0010-0000-0000-000004000000}" name="Price"/>
    <tableColumn id="5" xr3:uid="{00000000-0010-0000-0000-000005000000}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19DDB1-911F-4954-B8FB-3A83411B6C54}" name="Table15" displayName="Table15" ref="A1:K12" totalsRowShown="0">
  <autoFilter ref="A1:K12" xr:uid="{8719DDB1-911F-4954-B8FB-3A83411B6C54}"/>
  <sortState xmlns:xlrd2="http://schemas.microsoft.com/office/spreadsheetml/2017/richdata2" ref="A2:E13">
    <sortCondition ref="B6:B16"/>
    <sortCondition ref="D6:D16"/>
  </sortState>
  <tableColumns count="11">
    <tableColumn id="1" xr3:uid="{0DCDAE54-0AF6-4A80-A139-F2A6613970E2}" name="Date"/>
    <tableColumn id="2" xr3:uid="{10B15424-CD49-4196-A0C2-E8E8C257DA70}" name="Category"/>
    <tableColumn id="3" xr3:uid="{21BFA371-059F-4C27-808F-1AFDA4E4A1E1}" name="Sub-Category"/>
    <tableColumn id="4" xr3:uid="{7494A991-06AD-4133-AB73-D97DBEA36A41}" name="Price"/>
    <tableColumn id="5" xr3:uid="{D0395793-E248-435C-BF0D-AEB2387FFC28}" name="Payment Mode"/>
    <tableColumn id="6" xr3:uid="{F47CE6E1-D1DA-448C-A1A7-DE2E4CC1DD7E}" name="SUM" dataDxfId="42">
      <calculatedColumnFormula>SUM(Table15[Price])</calculatedColumnFormula>
    </tableColumn>
    <tableColumn id="7" xr3:uid="{60E7FC55-A6F6-4634-9EBE-B2DB161D6A80}" name="SUMIF" dataDxfId="41">
      <calculatedColumnFormula>SUMIFS(Table15[Price],Table15[Payment Mode],"UPI")</calculatedColumnFormula>
    </tableColumn>
    <tableColumn id="8" xr3:uid="{25F4F36E-3F6B-4DEE-A146-AC5F24E2AAAB}" name="SUMIFS" dataDxfId="40">
      <calculatedColumnFormula>SUMIFS(Table15[Price],Table15[Payment Mode],"UPI",Table15[Category],"Food")</calculatedColumnFormula>
    </tableColumn>
    <tableColumn id="9" xr3:uid="{4B9A222E-79EA-43ED-9797-D5CCB9055901}" name="COUNT" dataDxfId="39">
      <calculatedColumnFormula>COUNT(Table15[Price])</calculatedColumnFormula>
    </tableColumn>
    <tableColumn id="10" xr3:uid="{4D5A09C4-729E-477A-B348-19011E4211B5}" name="COUNTIF" dataDxfId="38">
      <calculatedColumnFormula>COUNTIF(Table15[Payment Mode],"UPI")</calculatedColumnFormula>
    </tableColumn>
    <tableColumn id="11" xr3:uid="{86E5060F-7D59-4900-9545-B1216510A87F}" name="COUNTIFS" dataDxfId="37">
      <calculatedColumnFormula>COUNTIFS(Table15[Payment Mode],"UPI",Table15[Sub-Category],"Shampoo")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" displayName="customers" ref="A1:M123" tableType="queryTable" totalsRowShown="0">
  <autoFilter ref="A1:M123" xr:uid="{00000000-0009-0000-0100-000002000000}"/>
  <tableColumns count="13">
    <tableColumn id="1" xr3:uid="{00000000-0010-0000-0100-000001000000}" uniqueName="1" name="customerNumber" queryTableFieldId="1"/>
    <tableColumn id="2" xr3:uid="{00000000-0010-0000-0100-000002000000}" uniqueName="2" name="customerName" queryTableFieldId="2" dataDxfId="36"/>
    <tableColumn id="3" xr3:uid="{00000000-0010-0000-0100-000003000000}" uniqueName="3" name="contactLastName" queryTableFieldId="3" dataDxfId="35"/>
    <tableColumn id="4" xr3:uid="{00000000-0010-0000-0100-000004000000}" uniqueName="4" name="contactFirstName" queryTableFieldId="4" dataDxfId="34"/>
    <tableColumn id="5" xr3:uid="{00000000-0010-0000-0100-000005000000}" uniqueName="5" name="phone" queryTableFieldId="5" dataDxfId="33"/>
    <tableColumn id="6" xr3:uid="{00000000-0010-0000-0100-000006000000}" uniqueName="6" name="addressLine1" queryTableFieldId="6" dataDxfId="32"/>
    <tableColumn id="7" xr3:uid="{00000000-0010-0000-0100-000007000000}" uniqueName="7" name="addressLine2" queryTableFieldId="7" dataDxfId="31"/>
    <tableColumn id="8" xr3:uid="{00000000-0010-0000-0100-000008000000}" uniqueName="8" name="city" queryTableFieldId="8" dataDxfId="30"/>
    <tableColumn id="9" xr3:uid="{00000000-0010-0000-0100-000009000000}" uniqueName="9" name="state" queryTableFieldId="9" dataDxfId="29"/>
    <tableColumn id="10" xr3:uid="{00000000-0010-0000-0100-00000A000000}" uniqueName="10" name="postalCode" queryTableFieldId="10" dataDxfId="28"/>
    <tableColumn id="11" xr3:uid="{00000000-0010-0000-0100-00000B000000}" uniqueName="11" name="country" queryTableFieldId="11" dataDxfId="27"/>
    <tableColumn id="12" xr3:uid="{00000000-0010-0000-0100-00000C000000}" uniqueName="12" name="salesRepEmployeeNumber" queryTableFieldId="12"/>
    <tableColumn id="13" xr3:uid="{00000000-0010-0000-0100-00000D000000}" uniqueName="13" name="creditLimi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ployees" displayName="employees" ref="A1:H24" tableType="queryTable" totalsRowShown="0">
  <autoFilter ref="A1:H24" xr:uid="{00000000-0009-0000-0100-000003000000}"/>
  <tableColumns count="8">
    <tableColumn id="1" xr3:uid="{00000000-0010-0000-0200-000001000000}" uniqueName="1" name="EMP_ID" queryTableFieldId="1"/>
    <tableColumn id="2" xr3:uid="{00000000-0010-0000-0200-000002000000}" uniqueName="2" name="lastName" queryTableFieldId="2" dataDxfId="26"/>
    <tableColumn id="3" xr3:uid="{00000000-0010-0000-0200-000003000000}" uniqueName="3" name="firstName" queryTableFieldId="3" dataDxfId="25"/>
    <tableColumn id="4" xr3:uid="{00000000-0010-0000-0200-000004000000}" uniqueName="4" name="extension" queryTableFieldId="4" dataDxfId="24"/>
    <tableColumn id="5" xr3:uid="{00000000-0010-0000-0200-000005000000}" uniqueName="5" name="email" queryTableFieldId="5" dataDxfId="23"/>
    <tableColumn id="6" xr3:uid="{00000000-0010-0000-0200-000006000000}" uniqueName="6" name="officeCode" queryTableFieldId="6" dataDxfId="22"/>
    <tableColumn id="7" xr3:uid="{00000000-0010-0000-0200-000007000000}" uniqueName="7" name="reportsTo" queryTableFieldId="7"/>
    <tableColumn id="8" xr3:uid="{00000000-0010-0000-0200-000008000000}" uniqueName="8" name="jobTitle" queryTableFieldId="8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99FA1F-B2DF-4971-9D46-F574350B2483}" name="Employee_Sample_Data_1" displayName="Employee_Sample_Data_1" ref="A1:N1263" tableType="queryTable" totalsRowShown="0">
  <autoFilter ref="A1:N1263" xr:uid="{1A99FA1F-B2DF-4971-9D46-F574350B2483}"/>
  <tableColumns count="14">
    <tableColumn id="1" xr3:uid="{5ED60DE7-4434-44FE-BE0B-AFA9EFE897BB}" uniqueName="1" name="E_ID" queryTableFieldId="1" dataDxfId="20"/>
    <tableColumn id="2" xr3:uid="{1AA3E3DD-2EFC-4493-95BD-6D00A4130705}" uniqueName="2" name="Full Name" queryTableFieldId="2" dataDxfId="19"/>
    <tableColumn id="3" xr3:uid="{B49F6E66-CF05-40B2-AB2A-F27B349646C0}" uniqueName="3" name="Job Title" queryTableFieldId="3" dataDxfId="18"/>
    <tableColumn id="4" xr3:uid="{5D6C667A-1BA6-48EC-82CF-7619B7C1E36C}" uniqueName="4" name="Department" queryTableFieldId="4" dataDxfId="17"/>
    <tableColumn id="5" xr3:uid="{36644C4E-1DEF-42B2-BA25-346D66F96998}" uniqueName="5" name="Business Unit" queryTableFieldId="5" dataDxfId="16"/>
    <tableColumn id="6" xr3:uid="{F6720C3A-EFB2-4011-A0CF-3F990CD9CA4B}" uniqueName="6" name="Gender" queryTableFieldId="6" dataDxfId="15"/>
    <tableColumn id="7" xr3:uid="{FD58C9B8-076D-430A-B510-592A9A05AF58}" uniqueName="7" name="Ethnicity" queryTableFieldId="7" dataDxfId="14"/>
    <tableColumn id="8" xr3:uid="{F2E1E314-42AB-44D1-A368-D8B50ABECBB4}" uniqueName="8" name="Age" queryTableFieldId="8"/>
    <tableColumn id="9" xr3:uid="{E5B13F27-1122-4239-8AB8-A4045E5323CA}" uniqueName="9" name="Hire Date" queryTableFieldId="9"/>
    <tableColumn id="10" xr3:uid="{7491D8D5-A96C-4EC9-B193-5DBB362598A7}" uniqueName="10" name="Annual_Salary" queryTableFieldId="10"/>
    <tableColumn id="11" xr3:uid="{72E1C955-1847-43C8-B607-3AFF80161BAA}" uniqueName="11" name="Bonus %" queryTableFieldId="11"/>
    <tableColumn id="12" xr3:uid="{659FA2A4-4817-4452-BE59-7BC9DE8E0F35}" uniqueName="12" name="Country" queryTableFieldId="12" dataDxfId="13"/>
    <tableColumn id="13" xr3:uid="{CAED4A98-CFF3-4D53-9EA4-36FC24F0F2E8}" uniqueName="13" name="City" queryTableFieldId="13" dataDxfId="12"/>
    <tableColumn id="14" xr3:uid="{9BAB5BDA-9CF4-4FA7-8276-42AFCADD147F}" uniqueName="14" name="Exit Date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331611-A470-44D7-9DEF-B533FF19BCDB}" name="customers__2" displayName="customers__2" ref="A1:N123" tableType="queryTable" totalsRowShown="0">
  <autoFilter ref="A1:N123" xr:uid="{5C331611-A470-44D7-9DEF-B533FF19BCDB}"/>
  <tableColumns count="14">
    <tableColumn id="1" xr3:uid="{A2335E02-ED5B-4958-9E80-2E98E995860A}" uniqueName="1" name="customerNumber" queryTableFieldId="1"/>
    <tableColumn id="2" xr3:uid="{000A2E6B-8AAD-473D-A45B-1F47881FD349}" uniqueName="2" name="customerName" queryTableFieldId="2" dataDxfId="9"/>
    <tableColumn id="3" xr3:uid="{C1C801AB-3EFF-4879-8271-911089400CB4}" uniqueName="3" name="contactLastName" queryTableFieldId="3" dataDxfId="8"/>
    <tableColumn id="4" xr3:uid="{BA148E21-0F3A-42CB-BBBC-533FD4ABC2B8}" uniqueName="4" name="contactFirstName" queryTableFieldId="4" dataDxfId="7"/>
    <tableColumn id="5" xr3:uid="{0A17B0C1-890B-4305-BAD8-46582F5EB072}" uniqueName="5" name="phone" queryTableFieldId="5" dataDxfId="6"/>
    <tableColumn id="6" xr3:uid="{62351B56-FEBE-435C-8803-378E9E3479EB}" uniqueName="6" name="addressLine1" queryTableFieldId="6" dataDxfId="5"/>
    <tableColumn id="7" xr3:uid="{AC5C7C2D-782E-49B9-8953-12C4563B597B}" uniqueName="7" name="addressLine2" queryTableFieldId="7" dataDxfId="4"/>
    <tableColumn id="8" xr3:uid="{70AF6040-DD8C-4DD5-A7D0-D0F1816EBA76}" uniqueName="8" name="city" queryTableFieldId="8" dataDxfId="3"/>
    <tableColumn id="9" xr3:uid="{B40A8615-4D9C-4746-8824-37F1A8732A6A}" uniqueName="9" name="state" queryTableFieldId="9" dataDxfId="2"/>
    <tableColumn id="10" xr3:uid="{1387D183-63F3-4F28-BB9F-4E36CF199C3D}" uniqueName="10" name="postalCode" queryTableFieldId="10" dataDxfId="1"/>
    <tableColumn id="11" xr3:uid="{5EEF18BC-34F8-492D-9BD5-5574FA2112ED}" uniqueName="11" name="country" queryTableFieldId="11" dataDxfId="0"/>
    <tableColumn id="12" xr3:uid="{9DA92785-4603-4B34-9B64-F0BB2FF40226}" uniqueName="12" name="salesRepEmployeeNumber" queryTableFieldId="12"/>
    <tableColumn id="13" xr3:uid="{9F2A3DB3-A6B8-449C-B42B-15CD1AFE0B28}" uniqueName="13" name="creditLimit" queryTableFieldId="13"/>
    <tableColumn id="14" xr3:uid="{4837BA69-A836-46D5-B54A-A1681400C190}" uniqueName="14" name="Supris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H22" sqref="H22"/>
    </sheetView>
  </sheetViews>
  <sheetFormatPr defaultColWidth="9" defaultRowHeight="14.4"/>
  <cols>
    <col min="3" max="3" width="11.33203125" customWidth="1"/>
    <col min="4" max="4" width="16.6640625" customWidth="1"/>
    <col min="5" max="5" width="15.21875" customWidth="1"/>
    <col min="7" max="7" width="17.109375" customWidth="1"/>
    <col min="9" max="9" width="12.21875" customWidth="1"/>
    <col min="10" max="10" width="13" customWidth="1"/>
    <col min="12" max="12" width="14" customWidth="1"/>
    <col min="13" max="13" width="12.88671875" customWidth="1"/>
    <col min="15" max="15" width="11.33203125" style="28" customWidth="1"/>
  </cols>
  <sheetData>
    <row r="1" spans="1:1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O1" s="31"/>
    </row>
    <row r="2" spans="1:15">
      <c r="A2" s="45"/>
      <c r="B2" s="45"/>
      <c r="C2" s="45"/>
      <c r="D2" s="45"/>
      <c r="E2" s="45"/>
      <c r="F2" s="45"/>
      <c r="G2" s="45"/>
      <c r="H2" s="45"/>
      <c r="I2" s="45"/>
      <c r="J2" s="45"/>
      <c r="O2" s="31"/>
    </row>
    <row r="3" spans="1:15">
      <c r="C3" s="43" t="s">
        <v>1</v>
      </c>
      <c r="D3" s="43"/>
      <c r="E3" s="43"/>
      <c r="F3" s="43"/>
      <c r="G3" s="43"/>
      <c r="O3" s="31"/>
    </row>
    <row r="4" spans="1:15" ht="21">
      <c r="I4" s="44" t="s">
        <v>2</v>
      </c>
      <c r="J4" s="44"/>
      <c r="K4" s="44"/>
      <c r="L4" s="44"/>
      <c r="M4" s="44"/>
      <c r="O4" s="31"/>
    </row>
    <row r="5" spans="1:15" s="26" customFormat="1" ht="15.6"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9"/>
      <c r="I5" s="32" t="s">
        <v>8</v>
      </c>
      <c r="J5" s="33" t="s">
        <v>5</v>
      </c>
      <c r="K5" s="34" t="s">
        <v>9</v>
      </c>
      <c r="L5" s="35" t="s">
        <v>7</v>
      </c>
      <c r="M5" s="32"/>
      <c r="O5" s="36"/>
    </row>
    <row r="6" spans="1:15">
      <c r="B6">
        <v>1</v>
      </c>
      <c r="C6" s="3">
        <v>46059</v>
      </c>
      <c r="D6" t="s">
        <v>10</v>
      </c>
      <c r="E6" t="s">
        <v>11</v>
      </c>
      <c r="F6">
        <v>899</v>
      </c>
      <c r="G6" t="s">
        <v>12</v>
      </c>
      <c r="H6" s="30"/>
      <c r="I6" s="37">
        <v>44927</v>
      </c>
      <c r="J6" s="38" t="s">
        <v>13</v>
      </c>
      <c r="K6" s="38">
        <v>100</v>
      </c>
      <c r="L6" s="38" t="s">
        <v>14</v>
      </c>
      <c r="M6" s="39"/>
      <c r="O6" s="40"/>
    </row>
    <row r="7" spans="1:15">
      <c r="B7">
        <v>2</v>
      </c>
      <c r="C7" s="3">
        <v>46025</v>
      </c>
      <c r="D7" t="s">
        <v>15</v>
      </c>
      <c r="E7" t="s">
        <v>16</v>
      </c>
      <c r="F7">
        <v>1000</v>
      </c>
      <c r="G7" t="s">
        <v>17</v>
      </c>
      <c r="I7" s="6">
        <v>44928</v>
      </c>
      <c r="J7" s="23" t="s">
        <v>18</v>
      </c>
      <c r="O7" s="41"/>
    </row>
    <row r="8" spans="1:15">
      <c r="B8">
        <v>3</v>
      </c>
      <c r="C8" s="3">
        <v>46030</v>
      </c>
      <c r="D8" t="s">
        <v>19</v>
      </c>
      <c r="E8" t="s">
        <v>20</v>
      </c>
      <c r="F8">
        <v>400</v>
      </c>
      <c r="G8" t="s">
        <v>12</v>
      </c>
      <c r="I8" s="6">
        <v>44929</v>
      </c>
      <c r="J8" s="22" t="s">
        <v>16</v>
      </c>
      <c r="O8" s="40"/>
    </row>
    <row r="9" spans="1:15">
      <c r="B9">
        <v>4</v>
      </c>
      <c r="C9" s="3">
        <v>46064</v>
      </c>
      <c r="D9" t="s">
        <v>19</v>
      </c>
      <c r="E9" t="s">
        <v>20</v>
      </c>
      <c r="F9">
        <v>400</v>
      </c>
      <c r="G9" t="s">
        <v>12</v>
      </c>
      <c r="I9" s="6">
        <v>44930</v>
      </c>
      <c r="J9" s="23" t="s">
        <v>21</v>
      </c>
      <c r="O9" s="41"/>
    </row>
    <row r="10" spans="1:15">
      <c r="B10">
        <v>5</v>
      </c>
      <c r="C10" s="3">
        <v>46026</v>
      </c>
      <c r="D10" t="s">
        <v>19</v>
      </c>
      <c r="E10" t="s">
        <v>21</v>
      </c>
      <c r="F10">
        <v>780</v>
      </c>
      <c r="G10" t="s">
        <v>12</v>
      </c>
      <c r="I10" s="6">
        <v>44931</v>
      </c>
      <c r="J10" s="22" t="s">
        <v>22</v>
      </c>
      <c r="O10" s="40"/>
    </row>
    <row r="11" spans="1:15">
      <c r="B11">
        <v>6</v>
      </c>
      <c r="C11" s="3">
        <v>46029</v>
      </c>
      <c r="D11" t="s">
        <v>23</v>
      </c>
      <c r="E11" t="s">
        <v>24</v>
      </c>
      <c r="F11">
        <v>10</v>
      </c>
      <c r="G11" t="s">
        <v>12</v>
      </c>
      <c r="I11" s="6">
        <v>44932</v>
      </c>
      <c r="J11" s="23" t="s">
        <v>11</v>
      </c>
      <c r="L11" s="39"/>
      <c r="O11" s="41"/>
    </row>
    <row r="12" spans="1:15">
      <c r="B12">
        <v>7</v>
      </c>
      <c r="C12" s="3">
        <v>46027</v>
      </c>
      <c r="D12" s="4" t="s">
        <v>23</v>
      </c>
      <c r="E12" t="s">
        <v>22</v>
      </c>
      <c r="F12">
        <v>100</v>
      </c>
      <c r="G12" t="s">
        <v>17</v>
      </c>
      <c r="I12" s="6">
        <v>44933</v>
      </c>
      <c r="J12" s="22" t="s">
        <v>24</v>
      </c>
      <c r="O12" s="40"/>
    </row>
    <row r="13" spans="1:15">
      <c r="B13">
        <v>8</v>
      </c>
      <c r="C13" s="3">
        <v>46023</v>
      </c>
      <c r="D13" s="4" t="s">
        <v>23</v>
      </c>
      <c r="E13" s="4" t="s">
        <v>13</v>
      </c>
      <c r="F13" s="5">
        <v>300</v>
      </c>
      <c r="G13" s="4" t="s">
        <v>12</v>
      </c>
      <c r="I13" s="6">
        <v>44934</v>
      </c>
      <c r="J13" s="23" t="s">
        <v>20</v>
      </c>
      <c r="O13" s="41"/>
    </row>
    <row r="14" spans="1:15">
      <c r="B14">
        <v>9</v>
      </c>
      <c r="C14" s="3">
        <v>46031</v>
      </c>
      <c r="D14" s="4" t="s">
        <v>23</v>
      </c>
      <c r="E14" t="s">
        <v>25</v>
      </c>
      <c r="F14">
        <v>890</v>
      </c>
      <c r="G14" t="s">
        <v>17</v>
      </c>
      <c r="I14" s="6">
        <v>44935</v>
      </c>
      <c r="J14" s="22" t="s">
        <v>25</v>
      </c>
      <c r="O14" s="40"/>
    </row>
    <row r="15" spans="1:15">
      <c r="B15">
        <v>10</v>
      </c>
      <c r="C15" s="3">
        <v>46032</v>
      </c>
      <c r="D15" t="s">
        <v>26</v>
      </c>
      <c r="E15" t="s">
        <v>27</v>
      </c>
      <c r="F15">
        <v>120</v>
      </c>
      <c r="G15" t="s">
        <v>12</v>
      </c>
      <c r="I15" s="6">
        <v>44936</v>
      </c>
      <c r="O15" s="41"/>
    </row>
    <row r="16" spans="1:15">
      <c r="B16">
        <v>11</v>
      </c>
      <c r="C16" s="3">
        <v>46024</v>
      </c>
      <c r="D16" t="s">
        <v>26</v>
      </c>
      <c r="E16" t="s">
        <v>18</v>
      </c>
      <c r="F16">
        <v>400</v>
      </c>
      <c r="G16" t="s">
        <v>17</v>
      </c>
    </row>
  </sheetData>
  <mergeCells count="3">
    <mergeCell ref="C3:G3"/>
    <mergeCell ref="I4:M4"/>
    <mergeCell ref="A1:J2"/>
  </mergeCells>
  <dataValidations count="5">
    <dataValidation type="date" allowBlank="1" showInputMessage="1" showErrorMessage="1" sqref="C24:C28" xr:uid="{00000000-0002-0000-0000-000000000000}">
      <formula1>44927</formula1>
      <formula2>44957</formula2>
    </dataValidation>
    <dataValidation type="textLength" allowBlank="1" showInputMessage="1" showErrorMessage="1" sqref="J5:J6" xr:uid="{00000000-0002-0000-0000-000002000000}">
      <formula1>3</formula1>
      <formula2>30</formula2>
    </dataValidation>
    <dataValidation type="date" allowBlank="1" showInputMessage="1" showErrorMessage="1" errorTitle="Invalid Data" error="Data should be 1st jan 2023 to 31 jan 2023_x000a_" sqref="I1:I1048576" xr:uid="{00000000-0002-0000-0000-000001000000}">
      <formula1>44927</formula1>
      <formula2>44957</formula2>
    </dataValidation>
    <dataValidation type="whole" allowBlank="1" showInputMessage="1" showErrorMessage="1" sqref="K1:K1048576" xr:uid="{00000000-0002-0000-0000-000003000000}">
      <formula1>10</formula1>
      <formula2>50000</formula2>
    </dataValidation>
    <dataValidation type="list" allowBlank="1" showInputMessage="1" showErrorMessage="1" sqref="L1:L1048576" xr:uid="{00000000-0002-0000-0000-000004000000}">
      <formula1>"Cash,Upi,Card"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0BEFD532-5765-47E0-86C5-AF08414A5A75}">
            <xm:f>NOT(ISERROR(SEARCH($D$6,D1)))</xm:f>
            <xm:f>$D$6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27D8-FF18-418C-9314-F0242C918887}">
  <dimension ref="A1:K12"/>
  <sheetViews>
    <sheetView workbookViewId="0">
      <selection activeCell="M10" sqref="M10"/>
    </sheetView>
  </sheetViews>
  <sheetFormatPr defaultRowHeight="14.4"/>
  <cols>
    <col min="1" max="1" width="10.33203125" bestFit="1" customWidth="1"/>
    <col min="2" max="2" width="11.44140625" bestFit="1" customWidth="1"/>
    <col min="3" max="3" width="15.6640625" bestFit="1" customWidth="1"/>
    <col min="4" max="4" width="7.77734375" bestFit="1" customWidth="1"/>
    <col min="9" max="9" width="11.109375" customWidth="1"/>
    <col min="10" max="10" width="12.109375" customWidth="1"/>
    <col min="11" max="11" width="11.77734375" bestFit="1" customWidth="1"/>
  </cols>
  <sheetData>
    <row r="1" spans="1:11" ht="15.6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t="s">
        <v>1234</v>
      </c>
      <c r="G1" t="s">
        <v>1235</v>
      </c>
      <c r="H1" t="s">
        <v>1239</v>
      </c>
      <c r="I1" t="s">
        <v>1236</v>
      </c>
      <c r="J1" t="s">
        <v>1237</v>
      </c>
      <c r="K1" t="s">
        <v>1238</v>
      </c>
    </row>
    <row r="2" spans="1:11">
      <c r="A2" s="3">
        <v>46059</v>
      </c>
      <c r="B2" t="s">
        <v>10</v>
      </c>
      <c r="C2" t="s">
        <v>11</v>
      </c>
      <c r="D2">
        <v>899</v>
      </c>
      <c r="E2" t="s">
        <v>12</v>
      </c>
      <c r="F2">
        <f>SUM(Table15[Price])</f>
        <v>5299</v>
      </c>
      <c r="G2">
        <f>SUMIFS(Table15[Price],Table15[Payment Mode],"UPI")</f>
        <v>2909</v>
      </c>
      <c r="H2">
        <f>SUMIFS(Table15[Price],Table15[Payment Mode],"UPI",Table15[Category],"Food")</f>
        <v>310</v>
      </c>
      <c r="I2">
        <f>COUNT(Table15[Price])</f>
        <v>11</v>
      </c>
      <c r="J2">
        <f>COUNTIF(Table15[Payment Mode],"UPI")</f>
        <v>7</v>
      </c>
      <c r="K2" s="1">
        <f>COUNTIFS(Table15[Payment Mode],"UPI",Table15[Sub-Category],"Shampoo")</f>
        <v>1</v>
      </c>
    </row>
    <row r="3" spans="1:11">
      <c r="A3" s="3">
        <v>46025</v>
      </c>
      <c r="B3" t="s">
        <v>15</v>
      </c>
      <c r="C3" t="s">
        <v>16</v>
      </c>
      <c r="D3">
        <v>1000</v>
      </c>
      <c r="E3" t="s">
        <v>17</v>
      </c>
      <c r="K3" s="1"/>
    </row>
    <row r="4" spans="1:11">
      <c r="A4" s="3">
        <v>46030</v>
      </c>
      <c r="B4" t="s">
        <v>19</v>
      </c>
      <c r="C4" t="s">
        <v>20</v>
      </c>
      <c r="D4">
        <v>400</v>
      </c>
      <c r="E4" t="s">
        <v>12</v>
      </c>
      <c r="K4" s="1"/>
    </row>
    <row r="5" spans="1:11">
      <c r="A5" s="3">
        <v>46064</v>
      </c>
      <c r="B5" t="s">
        <v>19</v>
      </c>
      <c r="C5" t="s">
        <v>20</v>
      </c>
      <c r="D5">
        <v>400</v>
      </c>
      <c r="E5" t="s">
        <v>12</v>
      </c>
      <c r="K5" s="1"/>
    </row>
    <row r="6" spans="1:11">
      <c r="A6" s="3">
        <v>46026</v>
      </c>
      <c r="B6" t="s">
        <v>19</v>
      </c>
      <c r="C6" t="s">
        <v>21</v>
      </c>
      <c r="D6">
        <v>780</v>
      </c>
      <c r="E6" t="s">
        <v>12</v>
      </c>
      <c r="K6" s="1"/>
    </row>
    <row r="7" spans="1:11">
      <c r="A7" s="3">
        <v>46029</v>
      </c>
      <c r="B7" t="s">
        <v>23</v>
      </c>
      <c r="C7" t="s">
        <v>24</v>
      </c>
      <c r="D7">
        <v>10</v>
      </c>
      <c r="E7" t="s">
        <v>12</v>
      </c>
      <c r="K7" s="1"/>
    </row>
    <row r="8" spans="1:11">
      <c r="A8" s="3">
        <v>46027</v>
      </c>
      <c r="B8" s="4" t="s">
        <v>23</v>
      </c>
      <c r="C8" t="s">
        <v>22</v>
      </c>
      <c r="D8">
        <v>100</v>
      </c>
      <c r="E8" t="s">
        <v>17</v>
      </c>
      <c r="K8" s="1"/>
    </row>
    <row r="9" spans="1:11">
      <c r="A9" s="3">
        <v>46023</v>
      </c>
      <c r="B9" s="4" t="s">
        <v>23</v>
      </c>
      <c r="C9" s="4" t="s">
        <v>13</v>
      </c>
      <c r="D9" s="5">
        <v>300</v>
      </c>
      <c r="E9" s="4" t="s">
        <v>12</v>
      </c>
      <c r="K9" s="1"/>
    </row>
    <row r="10" spans="1:11">
      <c r="A10" s="3">
        <v>46031</v>
      </c>
      <c r="B10" s="4" t="s">
        <v>23</v>
      </c>
      <c r="C10" t="s">
        <v>25</v>
      </c>
      <c r="D10">
        <v>890</v>
      </c>
      <c r="E10" t="s">
        <v>17</v>
      </c>
      <c r="K10" s="1"/>
    </row>
    <row r="11" spans="1:11">
      <c r="A11" s="3">
        <v>46032</v>
      </c>
      <c r="B11" t="s">
        <v>26</v>
      </c>
      <c r="C11" t="s">
        <v>27</v>
      </c>
      <c r="D11">
        <v>120</v>
      </c>
      <c r="E11" t="s">
        <v>12</v>
      </c>
      <c r="K11" s="1"/>
    </row>
    <row r="12" spans="1:11">
      <c r="A12" s="3">
        <v>46024</v>
      </c>
      <c r="B12" t="s">
        <v>26</v>
      </c>
      <c r="C12" t="s">
        <v>18</v>
      </c>
      <c r="D12">
        <v>400</v>
      </c>
      <c r="E12" t="s">
        <v>17</v>
      </c>
      <c r="K12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66A19EF-C47C-4092-A34D-2CC71475552E}">
            <xm:f>NOT(ISERROR(SEARCH($D$6,B1)))</xm:f>
            <xm:f>$D$6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B1:B12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sqref="A1:A1048576"/>
    </sheetView>
  </sheetViews>
  <sheetFormatPr defaultColWidth="9" defaultRowHeight="14.4"/>
  <cols>
    <col min="1" max="1" width="17" customWidth="1"/>
    <col min="4" max="4" width="9.77734375" customWidth="1"/>
  </cols>
  <sheetData>
    <row r="1" spans="1:8">
      <c r="A1" t="s">
        <v>28</v>
      </c>
      <c r="B1" t="s">
        <v>29</v>
      </c>
      <c r="D1" t="s">
        <v>30</v>
      </c>
      <c r="E1" t="s">
        <v>31</v>
      </c>
      <c r="G1" t="s">
        <v>32</v>
      </c>
      <c r="H1" t="s">
        <v>33</v>
      </c>
    </row>
    <row r="2" spans="1:8">
      <c r="A2" t="s">
        <v>34</v>
      </c>
      <c r="B2" t="s">
        <v>35</v>
      </c>
      <c r="D2" t="s">
        <v>36</v>
      </c>
      <c r="E2" t="s">
        <v>37</v>
      </c>
      <c r="G2" t="s">
        <v>36</v>
      </c>
      <c r="H2" t="s">
        <v>37</v>
      </c>
    </row>
    <row r="3" spans="1:8">
      <c r="A3" t="s">
        <v>38</v>
      </c>
      <c r="B3" t="s">
        <v>39</v>
      </c>
      <c r="D3" t="s">
        <v>40</v>
      </c>
      <c r="E3" t="s">
        <v>41</v>
      </c>
      <c r="G3" t="s">
        <v>40</v>
      </c>
      <c r="H3" t="s">
        <v>41</v>
      </c>
    </row>
    <row r="4" spans="1:8">
      <c r="A4" t="s">
        <v>42</v>
      </c>
      <c r="B4" t="s">
        <v>43</v>
      </c>
      <c r="D4" t="s">
        <v>44</v>
      </c>
      <c r="E4" t="s">
        <v>45</v>
      </c>
      <c r="G4" t="s">
        <v>44</v>
      </c>
      <c r="H4" t="s">
        <v>46</v>
      </c>
    </row>
    <row r="5" spans="1:8">
      <c r="A5" t="s">
        <v>47</v>
      </c>
      <c r="B5" t="s">
        <v>48</v>
      </c>
      <c r="D5" t="s">
        <v>49</v>
      </c>
      <c r="E5" t="s">
        <v>50</v>
      </c>
      <c r="G5" t="s">
        <v>49</v>
      </c>
      <c r="H5" t="s">
        <v>50</v>
      </c>
    </row>
    <row r="6" spans="1:8">
      <c r="A6" t="s">
        <v>51</v>
      </c>
      <c r="B6" t="s">
        <v>52</v>
      </c>
      <c r="D6" t="s">
        <v>53</v>
      </c>
      <c r="G6" t="s">
        <v>53</v>
      </c>
      <c r="H6" t="s">
        <v>54</v>
      </c>
    </row>
    <row r="7" spans="1:8">
      <c r="A7" t="s">
        <v>55</v>
      </c>
      <c r="B7" t="s">
        <v>56</v>
      </c>
      <c r="D7" t="s">
        <v>57</v>
      </c>
      <c r="G7" t="s">
        <v>57</v>
      </c>
      <c r="H7" t="s">
        <v>58</v>
      </c>
    </row>
    <row r="8" spans="1:8">
      <c r="A8" t="s">
        <v>59</v>
      </c>
      <c r="B8" t="s">
        <v>60</v>
      </c>
      <c r="G8" t="s">
        <v>61</v>
      </c>
      <c r="H8" t="s">
        <v>62</v>
      </c>
    </row>
    <row r="9" spans="1:8">
      <c r="A9" t="s">
        <v>63</v>
      </c>
      <c r="B9" t="s">
        <v>64</v>
      </c>
      <c r="G9" t="s">
        <v>65</v>
      </c>
      <c r="H9" t="s">
        <v>66</v>
      </c>
    </row>
    <row r="10" spans="1:8">
      <c r="A10" t="s">
        <v>67</v>
      </c>
      <c r="B10" t="s">
        <v>68</v>
      </c>
      <c r="G10" t="s">
        <v>69</v>
      </c>
      <c r="H10" t="s">
        <v>70</v>
      </c>
    </row>
    <row r="11" spans="1:8">
      <c r="A11" t="s">
        <v>71</v>
      </c>
      <c r="B11" t="s">
        <v>72</v>
      </c>
      <c r="G11" t="s">
        <v>73</v>
      </c>
      <c r="H1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activeCell="I13" sqref="I13"/>
    </sheetView>
  </sheetViews>
  <sheetFormatPr defaultColWidth="9" defaultRowHeight="14.4"/>
  <cols>
    <col min="1" max="1" width="14" customWidth="1"/>
    <col min="2" max="2" width="12.88671875" customWidth="1"/>
    <col min="5" max="5" width="22.44140625" style="21" customWidth="1"/>
  </cols>
  <sheetData>
    <row r="1" spans="1:9">
      <c r="A1" s="45" t="s">
        <v>75</v>
      </c>
      <c r="B1" s="46"/>
      <c r="C1" s="46"/>
      <c r="D1" s="46"/>
      <c r="E1" s="46"/>
      <c r="F1" s="46"/>
      <c r="G1" s="46"/>
      <c r="H1" s="46"/>
      <c r="I1" s="46"/>
    </row>
    <row r="2" spans="1:9">
      <c r="A2" s="46"/>
      <c r="B2" s="46"/>
      <c r="C2" s="46"/>
      <c r="D2" s="46"/>
      <c r="E2" s="46"/>
      <c r="F2" s="46"/>
      <c r="G2" s="46"/>
      <c r="H2" s="46"/>
      <c r="I2" s="46"/>
    </row>
    <row r="5" spans="1:9" ht="15.6">
      <c r="A5" s="26" t="s">
        <v>76</v>
      </c>
      <c r="B5" s="26" t="s">
        <v>77</v>
      </c>
      <c r="C5" s="26"/>
      <c r="D5" s="26"/>
      <c r="E5" s="27" t="s">
        <v>78</v>
      </c>
      <c r="F5" s="26"/>
      <c r="G5" s="26"/>
      <c r="H5" s="26"/>
      <c r="I5" s="26"/>
    </row>
    <row r="6" spans="1:9" ht="100.8">
      <c r="A6" t="s">
        <v>79</v>
      </c>
      <c r="B6" t="s">
        <v>80</v>
      </c>
      <c r="E6" s="21" t="s">
        <v>3736</v>
      </c>
    </row>
    <row r="7" spans="1:9">
      <c r="A7" t="s">
        <v>81</v>
      </c>
      <c r="B7" t="s">
        <v>82</v>
      </c>
    </row>
  </sheetData>
  <mergeCells count="1">
    <mergeCell ref="A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3"/>
  <sheetViews>
    <sheetView topLeftCell="H1" workbookViewId="0">
      <selection activeCell="P12" sqref="P12"/>
    </sheetView>
  </sheetViews>
  <sheetFormatPr defaultColWidth="9" defaultRowHeight="14.4"/>
  <cols>
    <col min="1" max="1" width="18.109375" customWidth="1"/>
    <col min="2" max="2" width="29.33203125" customWidth="1"/>
    <col min="3" max="3" width="18" customWidth="1"/>
    <col min="4" max="4" width="18.109375" customWidth="1"/>
    <col min="5" max="5" width="16.33203125" customWidth="1"/>
    <col min="6" max="6" width="27" customWidth="1"/>
    <col min="7" max="7" width="20.6640625" customWidth="1"/>
    <col min="8" max="8" width="16.109375" customWidth="1"/>
    <col min="9" max="9" width="11.21875" customWidth="1"/>
    <col min="10" max="10" width="12.6640625" customWidth="1"/>
    <col min="11" max="11" width="11.5546875" customWidth="1"/>
    <col min="12" max="12" width="26" customWidth="1"/>
    <col min="13" max="13" width="12.109375" customWidth="1"/>
    <col min="16" max="16" width="47.88671875" customWidth="1"/>
  </cols>
  <sheetData>
    <row r="1" spans="1:1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</row>
    <row r="2" spans="1:18">
      <c r="A2">
        <v>103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/>
      <c r="H2" s="1" t="s">
        <v>101</v>
      </c>
      <c r="I2" s="1"/>
      <c r="J2" s="1" t="s">
        <v>102</v>
      </c>
      <c r="K2" s="1" t="s">
        <v>103</v>
      </c>
      <c r="L2">
        <v>1370</v>
      </c>
      <c r="M2">
        <v>21000</v>
      </c>
    </row>
    <row r="3" spans="1:18">
      <c r="A3">
        <v>112</v>
      </c>
      <c r="B3" s="1" t="s">
        <v>104</v>
      </c>
      <c r="C3" s="1" t="s">
        <v>105</v>
      </c>
      <c r="D3" s="1" t="s">
        <v>106</v>
      </c>
      <c r="E3" s="1" t="s">
        <v>107</v>
      </c>
      <c r="F3" s="1" t="s">
        <v>108</v>
      </c>
      <c r="G3" s="1"/>
      <c r="H3" s="1" t="s">
        <v>109</v>
      </c>
      <c r="I3" s="1" t="s">
        <v>110</v>
      </c>
      <c r="J3" s="1" t="s">
        <v>111</v>
      </c>
      <c r="K3" s="1" t="s">
        <v>112</v>
      </c>
      <c r="L3">
        <v>1166</v>
      </c>
      <c r="M3">
        <v>71800</v>
      </c>
    </row>
    <row r="4" spans="1:18">
      <c r="A4">
        <v>114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>
        <v>1611</v>
      </c>
      <c r="M4">
        <v>117300</v>
      </c>
      <c r="P4" s="47" t="s">
        <v>3737</v>
      </c>
      <c r="Q4" s="47"/>
      <c r="R4" s="47"/>
    </row>
    <row r="5" spans="1:18">
      <c r="A5">
        <v>119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/>
      <c r="H5" s="1" t="s">
        <v>101</v>
      </c>
      <c r="I5" s="1"/>
      <c r="J5" s="1" t="s">
        <v>102</v>
      </c>
      <c r="K5" s="1" t="s">
        <v>103</v>
      </c>
      <c r="L5">
        <v>1370</v>
      </c>
      <c r="M5">
        <v>118200</v>
      </c>
      <c r="P5" t="s">
        <v>3738</v>
      </c>
    </row>
    <row r="6" spans="1:18">
      <c r="A6">
        <v>121</v>
      </c>
      <c r="B6" s="1" t="s">
        <v>128</v>
      </c>
      <c r="C6" s="1" t="s">
        <v>129</v>
      </c>
      <c r="D6" s="1" t="s">
        <v>130</v>
      </c>
      <c r="E6" s="1" t="s">
        <v>131</v>
      </c>
      <c r="F6" s="1" t="s">
        <v>132</v>
      </c>
      <c r="G6" s="1"/>
      <c r="H6" s="1" t="s">
        <v>133</v>
      </c>
      <c r="I6" s="1"/>
      <c r="J6" s="1" t="s">
        <v>134</v>
      </c>
      <c r="K6" s="1" t="s">
        <v>135</v>
      </c>
      <c r="L6">
        <v>1504</v>
      </c>
      <c r="M6">
        <v>81700</v>
      </c>
    </row>
    <row r="7" spans="1:18">
      <c r="A7">
        <v>124</v>
      </c>
      <c r="B7" s="1" t="s">
        <v>136</v>
      </c>
      <c r="C7" s="1" t="s">
        <v>137</v>
      </c>
      <c r="D7" s="1" t="s">
        <v>138</v>
      </c>
      <c r="E7" s="1" t="s">
        <v>139</v>
      </c>
      <c r="F7" s="1" t="s">
        <v>140</v>
      </c>
      <c r="G7" s="1"/>
      <c r="H7" s="1" t="s">
        <v>141</v>
      </c>
      <c r="I7" s="1" t="s">
        <v>142</v>
      </c>
      <c r="J7" s="1" t="s">
        <v>143</v>
      </c>
      <c r="K7" s="1" t="s">
        <v>112</v>
      </c>
      <c r="L7">
        <v>1165</v>
      </c>
      <c r="M7">
        <v>210500</v>
      </c>
    </row>
    <row r="8" spans="1:18">
      <c r="A8">
        <v>125</v>
      </c>
      <c r="B8" s="1" t="s">
        <v>144</v>
      </c>
      <c r="C8" s="1" t="s">
        <v>145</v>
      </c>
      <c r="D8" s="1" t="s">
        <v>146</v>
      </c>
      <c r="E8" s="1" t="s">
        <v>147</v>
      </c>
      <c r="F8" s="1" t="s">
        <v>148</v>
      </c>
      <c r="G8" s="1"/>
      <c r="H8" s="1" t="s">
        <v>149</v>
      </c>
      <c r="I8" s="1"/>
      <c r="J8" s="1" t="s">
        <v>150</v>
      </c>
      <c r="K8" s="1" t="s">
        <v>151</v>
      </c>
      <c r="M8">
        <v>0</v>
      </c>
    </row>
    <row r="9" spans="1:18">
      <c r="A9">
        <v>128</v>
      </c>
      <c r="B9" s="1" t="s">
        <v>152</v>
      </c>
      <c r="C9" s="1" t="s">
        <v>153</v>
      </c>
      <c r="D9" s="1" t="s">
        <v>154</v>
      </c>
      <c r="E9" s="1" t="s">
        <v>155</v>
      </c>
      <c r="F9" s="1" t="s">
        <v>156</v>
      </c>
      <c r="G9" s="1"/>
      <c r="H9" s="1" t="s">
        <v>157</v>
      </c>
      <c r="I9" s="1"/>
      <c r="J9" s="1" t="s">
        <v>158</v>
      </c>
      <c r="K9" s="1" t="s">
        <v>159</v>
      </c>
      <c r="L9">
        <v>1504</v>
      </c>
      <c r="M9">
        <v>59700</v>
      </c>
    </row>
    <row r="10" spans="1:18">
      <c r="A10">
        <v>129</v>
      </c>
      <c r="B10" s="1" t="s">
        <v>160</v>
      </c>
      <c r="C10" s="1" t="s">
        <v>161</v>
      </c>
      <c r="D10" s="1" t="s">
        <v>162</v>
      </c>
      <c r="E10" s="1" t="s">
        <v>163</v>
      </c>
      <c r="F10" s="1" t="s">
        <v>164</v>
      </c>
      <c r="G10" s="1"/>
      <c r="H10" s="1" t="s">
        <v>165</v>
      </c>
      <c r="I10" s="1" t="s">
        <v>142</v>
      </c>
      <c r="J10" s="1" t="s">
        <v>166</v>
      </c>
      <c r="K10" s="1" t="s">
        <v>112</v>
      </c>
      <c r="L10">
        <v>1165</v>
      </c>
      <c r="M10">
        <v>64600</v>
      </c>
    </row>
    <row r="11" spans="1:18">
      <c r="A11">
        <v>131</v>
      </c>
      <c r="B11" s="1" t="s">
        <v>167</v>
      </c>
      <c r="C11" s="1" t="s">
        <v>168</v>
      </c>
      <c r="D11" s="1" t="s">
        <v>169</v>
      </c>
      <c r="E11" s="1" t="s">
        <v>170</v>
      </c>
      <c r="F11" s="1" t="s">
        <v>171</v>
      </c>
      <c r="G11" s="1"/>
      <c r="H11" s="1" t="s">
        <v>172</v>
      </c>
      <c r="I11" s="1" t="s">
        <v>173</v>
      </c>
      <c r="J11" s="1" t="s">
        <v>174</v>
      </c>
      <c r="K11" s="1" t="s">
        <v>112</v>
      </c>
      <c r="L11">
        <v>1323</v>
      </c>
      <c r="M11">
        <v>114900</v>
      </c>
    </row>
    <row r="12" spans="1:18">
      <c r="A12">
        <v>141</v>
      </c>
      <c r="B12" s="1" t="s">
        <v>175</v>
      </c>
      <c r="C12" s="1" t="s">
        <v>176</v>
      </c>
      <c r="D12" s="1" t="s">
        <v>177</v>
      </c>
      <c r="E12" s="1" t="s">
        <v>178</v>
      </c>
      <c r="F12" s="1" t="s">
        <v>179</v>
      </c>
      <c r="G12" s="1"/>
      <c r="H12" s="1" t="s">
        <v>180</v>
      </c>
      <c r="I12" s="1"/>
      <c r="J12" s="1" t="s">
        <v>181</v>
      </c>
      <c r="K12" s="1" t="s">
        <v>182</v>
      </c>
      <c r="L12">
        <v>1370</v>
      </c>
      <c r="M12">
        <v>227600</v>
      </c>
    </row>
    <row r="13" spans="1:18">
      <c r="A13">
        <v>144</v>
      </c>
      <c r="B13" s="1" t="s">
        <v>183</v>
      </c>
      <c r="C13" s="1" t="s">
        <v>184</v>
      </c>
      <c r="D13" s="1" t="s">
        <v>185</v>
      </c>
      <c r="E13" s="1" t="s">
        <v>186</v>
      </c>
      <c r="F13" s="1" t="s">
        <v>187</v>
      </c>
      <c r="G13" s="1"/>
      <c r="H13" s="1" t="s">
        <v>188</v>
      </c>
      <c r="I13" s="1"/>
      <c r="J13" s="1" t="s">
        <v>189</v>
      </c>
      <c r="K13" s="1" t="s">
        <v>190</v>
      </c>
      <c r="L13">
        <v>1504</v>
      </c>
      <c r="M13">
        <v>53100</v>
      </c>
    </row>
    <row r="14" spans="1:18">
      <c r="A14">
        <v>145</v>
      </c>
      <c r="B14" s="1" t="s">
        <v>191</v>
      </c>
      <c r="C14" s="1" t="s">
        <v>192</v>
      </c>
      <c r="D14" s="1" t="s">
        <v>193</v>
      </c>
      <c r="E14" s="1" t="s">
        <v>194</v>
      </c>
      <c r="F14" s="1" t="s">
        <v>195</v>
      </c>
      <c r="G14" s="1"/>
      <c r="H14" s="1" t="s">
        <v>196</v>
      </c>
      <c r="I14" s="1"/>
      <c r="J14" s="1" t="s">
        <v>197</v>
      </c>
      <c r="K14" s="1" t="s">
        <v>198</v>
      </c>
      <c r="L14">
        <v>1401</v>
      </c>
      <c r="M14">
        <v>83400</v>
      </c>
    </row>
    <row r="15" spans="1:18">
      <c r="A15">
        <v>146</v>
      </c>
      <c r="B15" s="1" t="s">
        <v>199</v>
      </c>
      <c r="C15" s="1" t="s">
        <v>200</v>
      </c>
      <c r="D15" s="1" t="s">
        <v>201</v>
      </c>
      <c r="E15" s="1" t="s">
        <v>202</v>
      </c>
      <c r="F15" s="1" t="s">
        <v>203</v>
      </c>
      <c r="G15" s="1"/>
      <c r="H15" s="1" t="s">
        <v>204</v>
      </c>
      <c r="I15" s="1"/>
      <c r="J15" s="1" t="s">
        <v>205</v>
      </c>
      <c r="K15" s="1" t="s">
        <v>103</v>
      </c>
      <c r="L15">
        <v>1337</v>
      </c>
      <c r="M15">
        <v>123900</v>
      </c>
    </row>
    <row r="16" spans="1:18">
      <c r="A16">
        <v>148</v>
      </c>
      <c r="B16" s="1" t="s">
        <v>206</v>
      </c>
      <c r="C16" s="1" t="s">
        <v>207</v>
      </c>
      <c r="D16" s="1" t="s">
        <v>208</v>
      </c>
      <c r="E16" s="1" t="s">
        <v>209</v>
      </c>
      <c r="F16" s="1" t="s">
        <v>210</v>
      </c>
      <c r="G16" s="1" t="s">
        <v>211</v>
      </c>
      <c r="H16" s="1" t="s">
        <v>212</v>
      </c>
      <c r="I16" s="1"/>
      <c r="J16" s="1" t="s">
        <v>213</v>
      </c>
      <c r="K16" s="1" t="s">
        <v>212</v>
      </c>
      <c r="L16">
        <v>1621</v>
      </c>
      <c r="M16">
        <v>103800</v>
      </c>
    </row>
    <row r="17" spans="1:13">
      <c r="A17">
        <v>151</v>
      </c>
      <c r="B17" s="1" t="s">
        <v>214</v>
      </c>
      <c r="C17" s="1" t="s">
        <v>215</v>
      </c>
      <c r="D17" s="1" t="s">
        <v>216</v>
      </c>
      <c r="E17" s="1" t="s">
        <v>217</v>
      </c>
      <c r="F17" s="1" t="s">
        <v>218</v>
      </c>
      <c r="G17" s="1" t="s">
        <v>219</v>
      </c>
      <c r="H17" s="1" t="s">
        <v>172</v>
      </c>
      <c r="I17" s="1" t="s">
        <v>173</v>
      </c>
      <c r="J17" s="1" t="s">
        <v>174</v>
      </c>
      <c r="K17" s="1" t="s">
        <v>112</v>
      </c>
      <c r="L17">
        <v>1286</v>
      </c>
      <c r="M17">
        <v>138500</v>
      </c>
    </row>
    <row r="18" spans="1:13">
      <c r="A18">
        <v>157</v>
      </c>
      <c r="B18" s="1" t="s">
        <v>220</v>
      </c>
      <c r="C18" s="1" t="s">
        <v>221</v>
      </c>
      <c r="D18" s="1" t="s">
        <v>222</v>
      </c>
      <c r="E18" s="1" t="s">
        <v>223</v>
      </c>
      <c r="F18" s="1" t="s">
        <v>224</v>
      </c>
      <c r="G18" s="1"/>
      <c r="H18" s="1" t="s">
        <v>225</v>
      </c>
      <c r="I18" s="1" t="s">
        <v>226</v>
      </c>
      <c r="J18" s="1" t="s">
        <v>227</v>
      </c>
      <c r="K18" s="1" t="s">
        <v>112</v>
      </c>
      <c r="L18">
        <v>1216</v>
      </c>
      <c r="M18">
        <v>100600</v>
      </c>
    </row>
    <row r="19" spans="1:13">
      <c r="A19">
        <v>161</v>
      </c>
      <c r="B19" s="1" t="s">
        <v>228</v>
      </c>
      <c r="C19" s="1" t="s">
        <v>229</v>
      </c>
      <c r="D19" s="1" t="s">
        <v>230</v>
      </c>
      <c r="E19" s="1" t="s">
        <v>231</v>
      </c>
      <c r="F19" s="1" t="s">
        <v>232</v>
      </c>
      <c r="G19" s="1"/>
      <c r="H19" s="1" t="s">
        <v>233</v>
      </c>
      <c r="I19" s="1" t="s">
        <v>142</v>
      </c>
      <c r="J19" s="1" t="s">
        <v>166</v>
      </c>
      <c r="K19" s="1" t="s">
        <v>112</v>
      </c>
      <c r="L19">
        <v>1165</v>
      </c>
      <c r="M19">
        <v>84600</v>
      </c>
    </row>
    <row r="20" spans="1:13">
      <c r="A20">
        <v>166</v>
      </c>
      <c r="B20" s="1" t="s">
        <v>234</v>
      </c>
      <c r="C20" s="1" t="s">
        <v>235</v>
      </c>
      <c r="D20" s="1" t="s">
        <v>236</v>
      </c>
      <c r="E20" s="1" t="s">
        <v>237</v>
      </c>
      <c r="F20" s="1" t="s">
        <v>238</v>
      </c>
      <c r="G20" s="1" t="s">
        <v>239</v>
      </c>
      <c r="H20" s="1" t="s">
        <v>212</v>
      </c>
      <c r="I20" s="1"/>
      <c r="J20" s="1" t="s">
        <v>240</v>
      </c>
      <c r="K20" s="1" t="s">
        <v>212</v>
      </c>
      <c r="L20">
        <v>1612</v>
      </c>
      <c r="M20">
        <v>97900</v>
      </c>
    </row>
    <row r="21" spans="1:13">
      <c r="A21">
        <v>167</v>
      </c>
      <c r="B21" s="1" t="s">
        <v>241</v>
      </c>
      <c r="C21" s="1" t="s">
        <v>242</v>
      </c>
      <c r="D21" s="1" t="s">
        <v>243</v>
      </c>
      <c r="E21" s="1" t="s">
        <v>244</v>
      </c>
      <c r="F21" s="1" t="s">
        <v>245</v>
      </c>
      <c r="G21" s="1" t="s">
        <v>246</v>
      </c>
      <c r="H21" s="1" t="s">
        <v>247</v>
      </c>
      <c r="I21" s="1"/>
      <c r="J21" s="1" t="s">
        <v>248</v>
      </c>
      <c r="K21" s="1" t="s">
        <v>249</v>
      </c>
      <c r="L21">
        <v>1504</v>
      </c>
      <c r="M21">
        <v>96800</v>
      </c>
    </row>
    <row r="22" spans="1:13">
      <c r="A22">
        <v>168</v>
      </c>
      <c r="B22" s="1" t="s">
        <v>250</v>
      </c>
      <c r="C22" s="1" t="s">
        <v>251</v>
      </c>
      <c r="D22" s="1" t="s">
        <v>252</v>
      </c>
      <c r="E22" s="1" t="s">
        <v>253</v>
      </c>
      <c r="F22" s="1" t="s">
        <v>254</v>
      </c>
      <c r="G22" s="1" t="s">
        <v>255</v>
      </c>
      <c r="H22" s="1" t="s">
        <v>256</v>
      </c>
      <c r="I22" s="1" t="s">
        <v>257</v>
      </c>
      <c r="J22" s="1" t="s">
        <v>258</v>
      </c>
      <c r="K22" s="1" t="s">
        <v>112</v>
      </c>
      <c r="L22">
        <v>1286</v>
      </c>
      <c r="M22">
        <v>0</v>
      </c>
    </row>
    <row r="23" spans="1:13">
      <c r="A23">
        <v>169</v>
      </c>
      <c r="B23" s="1" t="s">
        <v>259</v>
      </c>
      <c r="C23" s="1" t="s">
        <v>260</v>
      </c>
      <c r="D23" s="1" t="s">
        <v>261</v>
      </c>
      <c r="E23" s="1" t="s">
        <v>262</v>
      </c>
      <c r="F23" s="1" t="s">
        <v>263</v>
      </c>
      <c r="G23" s="1"/>
      <c r="H23" s="1" t="s">
        <v>264</v>
      </c>
      <c r="I23" s="1"/>
      <c r="J23" s="1" t="s">
        <v>265</v>
      </c>
      <c r="K23" s="1" t="s">
        <v>266</v>
      </c>
      <c r="M23">
        <v>0</v>
      </c>
    </row>
    <row r="24" spans="1:13">
      <c r="A24">
        <v>171</v>
      </c>
      <c r="B24" s="1" t="s">
        <v>267</v>
      </c>
      <c r="C24" s="1" t="s">
        <v>268</v>
      </c>
      <c r="D24" s="1" t="s">
        <v>269</v>
      </c>
      <c r="E24" s="1" t="s">
        <v>270</v>
      </c>
      <c r="F24" s="1" t="s">
        <v>271</v>
      </c>
      <c r="G24" s="1"/>
      <c r="H24" s="1" t="s">
        <v>272</v>
      </c>
      <c r="I24" s="1"/>
      <c r="J24" s="1" t="s">
        <v>273</v>
      </c>
      <c r="K24" s="1" t="s">
        <v>103</v>
      </c>
      <c r="L24">
        <v>1370</v>
      </c>
      <c r="M24">
        <v>82900</v>
      </c>
    </row>
    <row r="25" spans="1:13">
      <c r="A25">
        <v>172</v>
      </c>
      <c r="B25" s="1" t="s">
        <v>274</v>
      </c>
      <c r="C25" s="1" t="s">
        <v>275</v>
      </c>
      <c r="D25" s="1" t="s">
        <v>276</v>
      </c>
      <c r="E25" s="1" t="s">
        <v>277</v>
      </c>
      <c r="F25" s="1" t="s">
        <v>278</v>
      </c>
      <c r="G25" s="1"/>
      <c r="H25" s="1" t="s">
        <v>279</v>
      </c>
      <c r="I25" s="1"/>
      <c r="J25" s="1" t="s">
        <v>280</v>
      </c>
      <c r="K25" s="1" t="s">
        <v>103</v>
      </c>
      <c r="L25">
        <v>1337</v>
      </c>
      <c r="M25">
        <v>84300</v>
      </c>
    </row>
    <row r="26" spans="1:13">
      <c r="A26">
        <v>173</v>
      </c>
      <c r="B26" s="1" t="s">
        <v>281</v>
      </c>
      <c r="C26" s="1" t="s">
        <v>282</v>
      </c>
      <c r="D26" s="1" t="s">
        <v>283</v>
      </c>
      <c r="E26" s="1" t="s">
        <v>284</v>
      </c>
      <c r="F26" s="1" t="s">
        <v>285</v>
      </c>
      <c r="G26" s="1"/>
      <c r="H26" s="1" t="s">
        <v>286</v>
      </c>
      <c r="I26" s="1" t="s">
        <v>287</v>
      </c>
      <c r="J26" s="1" t="s">
        <v>288</v>
      </c>
      <c r="K26" s="1" t="s">
        <v>112</v>
      </c>
      <c r="L26">
        <v>1188</v>
      </c>
      <c r="M26">
        <v>43400</v>
      </c>
    </row>
    <row r="27" spans="1:13">
      <c r="A27">
        <v>175</v>
      </c>
      <c r="B27" s="1" t="s">
        <v>289</v>
      </c>
      <c r="C27" s="1" t="s">
        <v>105</v>
      </c>
      <c r="D27" s="1" t="s">
        <v>162</v>
      </c>
      <c r="E27" s="1" t="s">
        <v>290</v>
      </c>
      <c r="F27" s="1" t="s">
        <v>291</v>
      </c>
      <c r="G27" s="1"/>
      <c r="H27" s="1" t="s">
        <v>292</v>
      </c>
      <c r="I27" s="1" t="s">
        <v>257</v>
      </c>
      <c r="J27" s="1" t="s">
        <v>143</v>
      </c>
      <c r="K27" s="1" t="s">
        <v>112</v>
      </c>
      <c r="L27">
        <v>1323</v>
      </c>
      <c r="M27">
        <v>84300</v>
      </c>
    </row>
    <row r="28" spans="1:13">
      <c r="A28">
        <v>177</v>
      </c>
      <c r="B28" s="1" t="s">
        <v>293</v>
      </c>
      <c r="C28" s="1" t="s">
        <v>294</v>
      </c>
      <c r="D28" s="1" t="s">
        <v>295</v>
      </c>
      <c r="E28" s="1" t="s">
        <v>296</v>
      </c>
      <c r="F28" s="1" t="s">
        <v>297</v>
      </c>
      <c r="G28" s="1"/>
      <c r="H28" s="1" t="s">
        <v>298</v>
      </c>
      <c r="I28" s="1" t="s">
        <v>299</v>
      </c>
      <c r="J28" s="1" t="s">
        <v>300</v>
      </c>
      <c r="K28" s="1" t="s">
        <v>301</v>
      </c>
      <c r="L28">
        <v>1621</v>
      </c>
      <c r="M28">
        <v>81200</v>
      </c>
    </row>
    <row r="29" spans="1:13">
      <c r="A29">
        <v>181</v>
      </c>
      <c r="B29" s="1" t="s">
        <v>302</v>
      </c>
      <c r="C29" s="1" t="s">
        <v>303</v>
      </c>
      <c r="D29" s="1" t="s">
        <v>304</v>
      </c>
      <c r="E29" s="1" t="s">
        <v>305</v>
      </c>
      <c r="F29" s="1" t="s">
        <v>306</v>
      </c>
      <c r="G29" s="1" t="s">
        <v>255</v>
      </c>
      <c r="H29" s="1" t="s">
        <v>172</v>
      </c>
      <c r="I29" s="1" t="s">
        <v>173</v>
      </c>
      <c r="J29" s="1" t="s">
        <v>174</v>
      </c>
      <c r="K29" s="1" t="s">
        <v>112</v>
      </c>
      <c r="L29">
        <v>1286</v>
      </c>
      <c r="M29">
        <v>76400</v>
      </c>
    </row>
    <row r="30" spans="1:13">
      <c r="A30">
        <v>186</v>
      </c>
      <c r="B30" s="1" t="s">
        <v>307</v>
      </c>
      <c r="C30" s="1" t="s">
        <v>308</v>
      </c>
      <c r="D30" s="1" t="s">
        <v>309</v>
      </c>
      <c r="E30" s="1" t="s">
        <v>310</v>
      </c>
      <c r="F30" s="1" t="s">
        <v>311</v>
      </c>
      <c r="G30" s="1"/>
      <c r="H30" s="1" t="s">
        <v>312</v>
      </c>
      <c r="I30" s="1"/>
      <c r="J30" s="1" t="s">
        <v>313</v>
      </c>
      <c r="K30" s="1" t="s">
        <v>314</v>
      </c>
      <c r="L30">
        <v>1501</v>
      </c>
      <c r="M30">
        <v>96500</v>
      </c>
    </row>
    <row r="31" spans="1:13">
      <c r="A31">
        <v>187</v>
      </c>
      <c r="B31" s="1" t="s">
        <v>315</v>
      </c>
      <c r="C31" s="1" t="s">
        <v>316</v>
      </c>
      <c r="D31" s="1" t="s">
        <v>317</v>
      </c>
      <c r="E31" s="1" t="s">
        <v>318</v>
      </c>
      <c r="F31" s="1" t="s">
        <v>319</v>
      </c>
      <c r="G31" s="1"/>
      <c r="H31" s="1" t="s">
        <v>320</v>
      </c>
      <c r="I31" s="1"/>
      <c r="J31" s="1" t="s">
        <v>321</v>
      </c>
      <c r="K31" s="1" t="s">
        <v>322</v>
      </c>
      <c r="L31">
        <v>1501</v>
      </c>
      <c r="M31">
        <v>136800</v>
      </c>
    </row>
    <row r="32" spans="1:13">
      <c r="A32">
        <v>189</v>
      </c>
      <c r="B32" s="1" t="s">
        <v>323</v>
      </c>
      <c r="C32" s="1" t="s">
        <v>324</v>
      </c>
      <c r="D32" s="1" t="s">
        <v>325</v>
      </c>
      <c r="E32" s="1" t="s">
        <v>326</v>
      </c>
      <c r="F32" s="1" t="s">
        <v>327</v>
      </c>
      <c r="G32" s="1" t="s">
        <v>328</v>
      </c>
      <c r="H32" s="1" t="s">
        <v>329</v>
      </c>
      <c r="I32" s="1"/>
      <c r="J32" s="1" t="s">
        <v>330</v>
      </c>
      <c r="K32" s="1" t="s">
        <v>331</v>
      </c>
      <c r="L32">
        <v>1504</v>
      </c>
      <c r="M32">
        <v>69400</v>
      </c>
    </row>
    <row r="33" spans="1:13">
      <c r="A33">
        <v>198</v>
      </c>
      <c r="B33" s="1" t="s">
        <v>332</v>
      </c>
      <c r="C33" s="1" t="s">
        <v>333</v>
      </c>
      <c r="D33" s="1" t="s">
        <v>334</v>
      </c>
      <c r="E33" s="1" t="s">
        <v>335</v>
      </c>
      <c r="F33" s="1" t="s">
        <v>336</v>
      </c>
      <c r="G33" s="1"/>
      <c r="H33" s="1" t="s">
        <v>337</v>
      </c>
      <c r="I33" s="1" t="s">
        <v>287</v>
      </c>
      <c r="J33" s="1" t="s">
        <v>338</v>
      </c>
      <c r="K33" s="1" t="s">
        <v>112</v>
      </c>
      <c r="L33">
        <v>1216</v>
      </c>
      <c r="M33">
        <v>23000</v>
      </c>
    </row>
    <row r="34" spans="1:13">
      <c r="A34">
        <v>201</v>
      </c>
      <c r="B34" s="1" t="s">
        <v>339</v>
      </c>
      <c r="C34" s="1" t="s">
        <v>340</v>
      </c>
      <c r="D34" s="1" t="s">
        <v>341</v>
      </c>
      <c r="E34" s="1" t="s">
        <v>342</v>
      </c>
      <c r="F34" s="1" t="s">
        <v>343</v>
      </c>
      <c r="G34" s="1"/>
      <c r="H34" s="1" t="s">
        <v>344</v>
      </c>
      <c r="I34" s="1"/>
      <c r="J34" s="1" t="s">
        <v>345</v>
      </c>
      <c r="K34" s="1" t="s">
        <v>322</v>
      </c>
      <c r="L34">
        <v>1501</v>
      </c>
      <c r="M34">
        <v>92700</v>
      </c>
    </row>
    <row r="35" spans="1:13">
      <c r="A35">
        <v>202</v>
      </c>
      <c r="B35" s="1" t="s">
        <v>346</v>
      </c>
      <c r="C35" s="1" t="s">
        <v>347</v>
      </c>
      <c r="D35" s="1" t="s">
        <v>348</v>
      </c>
      <c r="E35" s="1" t="s">
        <v>349</v>
      </c>
      <c r="F35" s="1" t="s">
        <v>350</v>
      </c>
      <c r="G35" s="1"/>
      <c r="H35" s="1" t="s">
        <v>351</v>
      </c>
      <c r="I35" s="1" t="s">
        <v>352</v>
      </c>
      <c r="J35" s="1" t="s">
        <v>353</v>
      </c>
      <c r="K35" s="1" t="s">
        <v>354</v>
      </c>
      <c r="L35">
        <v>1323</v>
      </c>
      <c r="M35">
        <v>90300</v>
      </c>
    </row>
    <row r="36" spans="1:13">
      <c r="A36">
        <v>204</v>
      </c>
      <c r="B36" s="1" t="s">
        <v>355</v>
      </c>
      <c r="C36" s="1" t="s">
        <v>356</v>
      </c>
      <c r="D36" s="1" t="s">
        <v>357</v>
      </c>
      <c r="E36" s="1" t="s">
        <v>358</v>
      </c>
      <c r="F36" s="1" t="s">
        <v>359</v>
      </c>
      <c r="G36" s="1"/>
      <c r="H36" s="1" t="s">
        <v>337</v>
      </c>
      <c r="I36" s="1" t="s">
        <v>287</v>
      </c>
      <c r="J36" s="1" t="s">
        <v>338</v>
      </c>
      <c r="K36" s="1" t="s">
        <v>112</v>
      </c>
      <c r="L36">
        <v>1188</v>
      </c>
      <c r="M36">
        <v>68700</v>
      </c>
    </row>
    <row r="37" spans="1:13">
      <c r="A37">
        <v>205</v>
      </c>
      <c r="B37" s="1" t="s">
        <v>360</v>
      </c>
      <c r="C37" s="1" t="s">
        <v>215</v>
      </c>
      <c r="D37" s="1" t="s">
        <v>162</v>
      </c>
      <c r="E37" s="1" t="s">
        <v>361</v>
      </c>
      <c r="F37" s="1" t="s">
        <v>362</v>
      </c>
      <c r="G37" s="1"/>
      <c r="H37" s="1" t="s">
        <v>363</v>
      </c>
      <c r="I37" s="1" t="s">
        <v>142</v>
      </c>
      <c r="J37" s="1" t="s">
        <v>364</v>
      </c>
      <c r="K37" s="1" t="s">
        <v>112</v>
      </c>
      <c r="L37">
        <v>1166</v>
      </c>
      <c r="M37">
        <v>90700</v>
      </c>
    </row>
    <row r="38" spans="1:13">
      <c r="A38">
        <v>206</v>
      </c>
      <c r="B38" s="1" t="s">
        <v>365</v>
      </c>
      <c r="C38" s="1" t="s">
        <v>366</v>
      </c>
      <c r="D38" s="1" t="s">
        <v>367</v>
      </c>
      <c r="E38" s="1" t="s">
        <v>368</v>
      </c>
      <c r="F38" s="1" t="s">
        <v>369</v>
      </c>
      <c r="G38" s="1" t="s">
        <v>370</v>
      </c>
      <c r="H38" s="1" t="s">
        <v>212</v>
      </c>
      <c r="I38" s="1"/>
      <c r="J38" s="1" t="s">
        <v>371</v>
      </c>
      <c r="K38" s="1" t="s">
        <v>212</v>
      </c>
      <c r="M38">
        <v>0</v>
      </c>
    </row>
    <row r="39" spans="1:13">
      <c r="A39">
        <v>209</v>
      </c>
      <c r="B39" s="1" t="s">
        <v>372</v>
      </c>
      <c r="C39" s="1" t="s">
        <v>373</v>
      </c>
      <c r="D39" s="1" t="s">
        <v>374</v>
      </c>
      <c r="E39" s="1" t="s">
        <v>375</v>
      </c>
      <c r="F39" s="1" t="s">
        <v>376</v>
      </c>
      <c r="G39" s="1"/>
      <c r="H39" s="1" t="s">
        <v>377</v>
      </c>
      <c r="I39" s="1"/>
      <c r="J39" s="1" t="s">
        <v>378</v>
      </c>
      <c r="K39" s="1" t="s">
        <v>103</v>
      </c>
      <c r="L39">
        <v>1370</v>
      </c>
      <c r="M39">
        <v>53800</v>
      </c>
    </row>
    <row r="40" spans="1:13">
      <c r="A40">
        <v>211</v>
      </c>
      <c r="B40" s="1" t="s">
        <v>379</v>
      </c>
      <c r="C40" s="1" t="s">
        <v>380</v>
      </c>
      <c r="D40" s="1" t="s">
        <v>381</v>
      </c>
      <c r="E40" s="1" t="s">
        <v>382</v>
      </c>
      <c r="F40" s="1" t="s">
        <v>383</v>
      </c>
      <c r="G40" s="1" t="s">
        <v>384</v>
      </c>
      <c r="H40" s="1" t="s">
        <v>385</v>
      </c>
      <c r="I40" s="1"/>
      <c r="J40" s="1"/>
      <c r="K40" s="1" t="s">
        <v>386</v>
      </c>
      <c r="L40">
        <v>1621</v>
      </c>
      <c r="M40">
        <v>58600</v>
      </c>
    </row>
    <row r="41" spans="1:13">
      <c r="A41">
        <v>216</v>
      </c>
      <c r="B41" s="1" t="s">
        <v>387</v>
      </c>
      <c r="C41" s="1" t="s">
        <v>388</v>
      </c>
      <c r="D41" s="1" t="s">
        <v>389</v>
      </c>
      <c r="E41" s="1" t="s">
        <v>390</v>
      </c>
      <c r="F41" s="1" t="s">
        <v>391</v>
      </c>
      <c r="G41" s="1"/>
      <c r="H41" s="1" t="s">
        <v>392</v>
      </c>
      <c r="I41" s="1"/>
      <c r="J41" s="1" t="s">
        <v>393</v>
      </c>
      <c r="K41" s="1" t="s">
        <v>182</v>
      </c>
      <c r="L41">
        <v>1702</v>
      </c>
      <c r="M41">
        <v>60300</v>
      </c>
    </row>
    <row r="42" spans="1:13">
      <c r="A42">
        <v>219</v>
      </c>
      <c r="B42" s="1" t="s">
        <v>394</v>
      </c>
      <c r="C42" s="1" t="s">
        <v>215</v>
      </c>
      <c r="D42" s="1" t="s">
        <v>395</v>
      </c>
      <c r="E42" s="1" t="s">
        <v>396</v>
      </c>
      <c r="F42" s="1" t="s">
        <v>397</v>
      </c>
      <c r="G42" s="1"/>
      <c r="H42" s="1" t="s">
        <v>398</v>
      </c>
      <c r="I42" s="1" t="s">
        <v>142</v>
      </c>
      <c r="J42" s="1" t="s">
        <v>399</v>
      </c>
      <c r="K42" s="1" t="s">
        <v>112</v>
      </c>
      <c r="L42">
        <v>1166</v>
      </c>
      <c r="M42">
        <v>11000</v>
      </c>
    </row>
    <row r="43" spans="1:13">
      <c r="A43">
        <v>223</v>
      </c>
      <c r="B43" s="1" t="s">
        <v>400</v>
      </c>
      <c r="C43" s="1" t="s">
        <v>401</v>
      </c>
      <c r="D43" s="1" t="s">
        <v>402</v>
      </c>
      <c r="E43" s="1" t="s">
        <v>403</v>
      </c>
      <c r="F43" s="1" t="s">
        <v>404</v>
      </c>
      <c r="G43" s="1"/>
      <c r="H43" s="1" t="s">
        <v>405</v>
      </c>
      <c r="I43" s="1"/>
      <c r="J43" s="1" t="s">
        <v>406</v>
      </c>
      <c r="K43" s="1" t="s">
        <v>159</v>
      </c>
      <c r="M43">
        <v>0</v>
      </c>
    </row>
    <row r="44" spans="1:13">
      <c r="A44">
        <v>227</v>
      </c>
      <c r="B44" s="1" t="s">
        <v>407</v>
      </c>
      <c r="C44" s="1" t="s">
        <v>408</v>
      </c>
      <c r="D44" s="1" t="s">
        <v>409</v>
      </c>
      <c r="E44" s="1" t="s">
        <v>410</v>
      </c>
      <c r="F44" s="1" t="s">
        <v>411</v>
      </c>
      <c r="G44" s="1"/>
      <c r="H44" s="1" t="s">
        <v>412</v>
      </c>
      <c r="I44" s="1"/>
      <c r="J44" s="1" t="s">
        <v>413</v>
      </c>
      <c r="K44" s="1" t="s">
        <v>198</v>
      </c>
      <c r="L44">
        <v>1401</v>
      </c>
      <c r="M44">
        <v>120800</v>
      </c>
    </row>
    <row r="45" spans="1:13">
      <c r="A45">
        <v>233</v>
      </c>
      <c r="B45" s="1" t="s">
        <v>414</v>
      </c>
      <c r="C45" s="1" t="s">
        <v>415</v>
      </c>
      <c r="D45" s="1" t="s">
        <v>416</v>
      </c>
      <c r="E45" s="1" t="s">
        <v>417</v>
      </c>
      <c r="F45" s="1" t="s">
        <v>418</v>
      </c>
      <c r="G45" s="1"/>
      <c r="H45" s="1" t="s">
        <v>419</v>
      </c>
      <c r="I45" s="1" t="s">
        <v>420</v>
      </c>
      <c r="J45" s="1" t="s">
        <v>421</v>
      </c>
      <c r="K45" s="1" t="s">
        <v>354</v>
      </c>
      <c r="L45">
        <v>1286</v>
      </c>
      <c r="M45">
        <v>48700</v>
      </c>
    </row>
    <row r="46" spans="1:13">
      <c r="A46">
        <v>237</v>
      </c>
      <c r="B46" s="1" t="s">
        <v>422</v>
      </c>
      <c r="C46" s="1" t="s">
        <v>423</v>
      </c>
      <c r="D46" s="1" t="s">
        <v>424</v>
      </c>
      <c r="E46" s="1" t="s">
        <v>425</v>
      </c>
      <c r="F46" s="1" t="s">
        <v>426</v>
      </c>
      <c r="G46" s="1"/>
      <c r="H46" s="1" t="s">
        <v>180</v>
      </c>
      <c r="I46" s="1"/>
      <c r="J46" s="1" t="s">
        <v>427</v>
      </c>
      <c r="K46" s="1" t="s">
        <v>182</v>
      </c>
      <c r="M46">
        <v>0</v>
      </c>
    </row>
    <row r="47" spans="1:13">
      <c r="A47">
        <v>239</v>
      </c>
      <c r="B47" s="1" t="s">
        <v>428</v>
      </c>
      <c r="C47" s="1" t="s">
        <v>429</v>
      </c>
      <c r="D47" s="1" t="s">
        <v>430</v>
      </c>
      <c r="E47" s="1" t="s">
        <v>431</v>
      </c>
      <c r="F47" s="1" t="s">
        <v>432</v>
      </c>
      <c r="G47" s="1"/>
      <c r="H47" s="1" t="s">
        <v>433</v>
      </c>
      <c r="I47" s="1" t="s">
        <v>142</v>
      </c>
      <c r="J47" s="1" t="s">
        <v>434</v>
      </c>
      <c r="K47" s="1" t="s">
        <v>112</v>
      </c>
      <c r="L47">
        <v>1166</v>
      </c>
      <c r="M47">
        <v>105000</v>
      </c>
    </row>
    <row r="48" spans="1:13">
      <c r="A48">
        <v>240</v>
      </c>
      <c r="B48" s="1" t="s">
        <v>435</v>
      </c>
      <c r="C48" s="1" t="s">
        <v>436</v>
      </c>
      <c r="D48" s="1" t="s">
        <v>437</v>
      </c>
      <c r="E48" s="1" t="s">
        <v>438</v>
      </c>
      <c r="F48" s="1" t="s">
        <v>439</v>
      </c>
      <c r="G48" s="1" t="s">
        <v>440</v>
      </c>
      <c r="H48" s="1" t="s">
        <v>441</v>
      </c>
      <c r="I48" s="1" t="s">
        <v>442</v>
      </c>
      <c r="J48" s="1" t="s">
        <v>443</v>
      </c>
      <c r="K48" s="1" t="s">
        <v>322</v>
      </c>
      <c r="L48">
        <v>1501</v>
      </c>
      <c r="M48">
        <v>93900</v>
      </c>
    </row>
    <row r="49" spans="1:13">
      <c r="A49">
        <v>242</v>
      </c>
      <c r="B49" s="1" t="s">
        <v>444</v>
      </c>
      <c r="C49" s="1" t="s">
        <v>445</v>
      </c>
      <c r="D49" s="1" t="s">
        <v>446</v>
      </c>
      <c r="E49" s="1" t="s">
        <v>447</v>
      </c>
      <c r="F49" s="1" t="s">
        <v>448</v>
      </c>
      <c r="G49" s="1"/>
      <c r="H49" s="1" t="s">
        <v>449</v>
      </c>
      <c r="I49" s="1"/>
      <c r="J49" s="1" t="s">
        <v>450</v>
      </c>
      <c r="K49" s="1" t="s">
        <v>103</v>
      </c>
      <c r="L49">
        <v>1370</v>
      </c>
      <c r="M49">
        <v>61100</v>
      </c>
    </row>
    <row r="50" spans="1:13">
      <c r="A50">
        <v>247</v>
      </c>
      <c r="B50" s="1" t="s">
        <v>451</v>
      </c>
      <c r="C50" s="1" t="s">
        <v>452</v>
      </c>
      <c r="D50" s="1" t="s">
        <v>453</v>
      </c>
      <c r="E50" s="1" t="s">
        <v>454</v>
      </c>
      <c r="F50" s="1" t="s">
        <v>455</v>
      </c>
      <c r="G50" s="1"/>
      <c r="H50" s="1" t="s">
        <v>157</v>
      </c>
      <c r="I50" s="1"/>
      <c r="J50" s="1" t="s">
        <v>158</v>
      </c>
      <c r="K50" s="1" t="s">
        <v>159</v>
      </c>
      <c r="M50">
        <v>0</v>
      </c>
    </row>
    <row r="51" spans="1:13">
      <c r="A51">
        <v>249</v>
      </c>
      <c r="B51" s="1" t="s">
        <v>456</v>
      </c>
      <c r="C51" s="1" t="s">
        <v>457</v>
      </c>
      <c r="D51" s="1" t="s">
        <v>458</v>
      </c>
      <c r="E51" s="1" t="s">
        <v>459</v>
      </c>
      <c r="F51" s="1" t="s">
        <v>460</v>
      </c>
      <c r="G51" s="1"/>
      <c r="H51" s="1" t="s">
        <v>461</v>
      </c>
      <c r="I51" s="1"/>
      <c r="J51" s="1" t="s">
        <v>462</v>
      </c>
      <c r="K51" s="1" t="s">
        <v>463</v>
      </c>
      <c r="L51">
        <v>1401</v>
      </c>
      <c r="M51">
        <v>113000</v>
      </c>
    </row>
    <row r="52" spans="1:13">
      <c r="A52">
        <v>250</v>
      </c>
      <c r="B52" s="1" t="s">
        <v>464</v>
      </c>
      <c r="C52" s="1" t="s">
        <v>465</v>
      </c>
      <c r="D52" s="1" t="s">
        <v>466</v>
      </c>
      <c r="E52" s="1" t="s">
        <v>467</v>
      </c>
      <c r="F52" s="1" t="s">
        <v>468</v>
      </c>
      <c r="G52" s="1"/>
      <c r="H52" s="1" t="s">
        <v>279</v>
      </c>
      <c r="I52" s="1"/>
      <c r="J52" s="1" t="s">
        <v>469</v>
      </c>
      <c r="K52" s="1" t="s">
        <v>103</v>
      </c>
      <c r="L52">
        <v>1337</v>
      </c>
      <c r="M52">
        <v>68100</v>
      </c>
    </row>
    <row r="53" spans="1:13">
      <c r="A53">
        <v>256</v>
      </c>
      <c r="B53" s="1" t="s">
        <v>470</v>
      </c>
      <c r="C53" s="1" t="s">
        <v>471</v>
      </c>
      <c r="D53" s="1" t="s">
        <v>472</v>
      </c>
      <c r="E53" s="1" t="s">
        <v>473</v>
      </c>
      <c r="F53" s="1" t="s">
        <v>474</v>
      </c>
      <c r="G53" s="1"/>
      <c r="H53" s="1" t="s">
        <v>475</v>
      </c>
      <c r="I53" s="1"/>
      <c r="J53" s="1" t="s">
        <v>476</v>
      </c>
      <c r="K53" s="1" t="s">
        <v>103</v>
      </c>
      <c r="L53">
        <v>1370</v>
      </c>
      <c r="M53">
        <v>77900</v>
      </c>
    </row>
    <row r="54" spans="1:13">
      <c r="A54">
        <v>259</v>
      </c>
      <c r="B54" s="1" t="s">
        <v>477</v>
      </c>
      <c r="C54" s="1" t="s">
        <v>478</v>
      </c>
      <c r="D54" s="1" t="s">
        <v>479</v>
      </c>
      <c r="E54" s="1" t="s">
        <v>480</v>
      </c>
      <c r="F54" s="1" t="s">
        <v>481</v>
      </c>
      <c r="G54" s="1"/>
      <c r="H54" s="1" t="s">
        <v>482</v>
      </c>
      <c r="I54" s="1"/>
      <c r="J54" s="1" t="s">
        <v>483</v>
      </c>
      <c r="K54" s="1" t="s">
        <v>159</v>
      </c>
      <c r="L54">
        <v>1504</v>
      </c>
      <c r="M54">
        <v>120400</v>
      </c>
    </row>
    <row r="55" spans="1:13">
      <c r="A55">
        <v>260</v>
      </c>
      <c r="B55" s="1" t="s">
        <v>484</v>
      </c>
      <c r="C55" s="1" t="s">
        <v>485</v>
      </c>
      <c r="D55" s="1" t="s">
        <v>486</v>
      </c>
      <c r="E55" s="1" t="s">
        <v>487</v>
      </c>
      <c r="F55" s="1" t="s">
        <v>488</v>
      </c>
      <c r="G55" s="1"/>
      <c r="H55" s="1" t="s">
        <v>489</v>
      </c>
      <c r="I55" s="1" t="s">
        <v>352</v>
      </c>
      <c r="J55" s="1" t="s">
        <v>490</v>
      </c>
      <c r="K55" s="1" t="s">
        <v>354</v>
      </c>
      <c r="L55">
        <v>1323</v>
      </c>
      <c r="M55">
        <v>89600</v>
      </c>
    </row>
    <row r="56" spans="1:13">
      <c r="A56">
        <v>273</v>
      </c>
      <c r="B56" s="1" t="s">
        <v>491</v>
      </c>
      <c r="C56" s="1" t="s">
        <v>492</v>
      </c>
      <c r="D56" s="1" t="s">
        <v>493</v>
      </c>
      <c r="E56" s="1" t="s">
        <v>494</v>
      </c>
      <c r="F56" s="1" t="s">
        <v>495</v>
      </c>
      <c r="G56" s="1"/>
      <c r="H56" s="1" t="s">
        <v>496</v>
      </c>
      <c r="I56" s="1"/>
      <c r="J56" s="1" t="s">
        <v>497</v>
      </c>
      <c r="K56" s="1" t="s">
        <v>159</v>
      </c>
      <c r="M56">
        <v>0</v>
      </c>
    </row>
    <row r="57" spans="1:13">
      <c r="A57">
        <v>276</v>
      </c>
      <c r="B57" s="1" t="s">
        <v>498</v>
      </c>
      <c r="C57" s="1" t="s">
        <v>499</v>
      </c>
      <c r="D57" s="1" t="s">
        <v>500</v>
      </c>
      <c r="E57" s="1" t="s">
        <v>501</v>
      </c>
      <c r="F57" s="1" t="s">
        <v>502</v>
      </c>
      <c r="G57" s="1" t="s">
        <v>503</v>
      </c>
      <c r="H57" s="1" t="s">
        <v>504</v>
      </c>
      <c r="I57" s="1" t="s">
        <v>505</v>
      </c>
      <c r="J57" s="1" t="s">
        <v>506</v>
      </c>
      <c r="K57" s="1" t="s">
        <v>122</v>
      </c>
      <c r="L57">
        <v>1611</v>
      </c>
      <c r="M57">
        <v>107800</v>
      </c>
    </row>
    <row r="58" spans="1:13">
      <c r="A58">
        <v>278</v>
      </c>
      <c r="B58" s="1" t="s">
        <v>507</v>
      </c>
      <c r="C58" s="1" t="s">
        <v>508</v>
      </c>
      <c r="D58" s="1" t="s">
        <v>509</v>
      </c>
      <c r="E58" s="1" t="s">
        <v>510</v>
      </c>
      <c r="F58" s="1" t="s">
        <v>511</v>
      </c>
      <c r="G58" s="1"/>
      <c r="H58" s="1" t="s">
        <v>512</v>
      </c>
      <c r="I58" s="1"/>
      <c r="J58" s="1" t="s">
        <v>513</v>
      </c>
      <c r="K58" s="1" t="s">
        <v>463</v>
      </c>
      <c r="L58">
        <v>1401</v>
      </c>
      <c r="M58">
        <v>119600</v>
      </c>
    </row>
    <row r="59" spans="1:13">
      <c r="A59">
        <v>282</v>
      </c>
      <c r="B59" s="1" t="s">
        <v>514</v>
      </c>
      <c r="C59" s="1" t="s">
        <v>515</v>
      </c>
      <c r="D59" s="1" t="s">
        <v>516</v>
      </c>
      <c r="E59" s="1" t="s">
        <v>517</v>
      </c>
      <c r="F59" s="1" t="s">
        <v>518</v>
      </c>
      <c r="G59" s="1" t="s">
        <v>519</v>
      </c>
      <c r="H59" s="1" t="s">
        <v>520</v>
      </c>
      <c r="I59" s="1" t="s">
        <v>505</v>
      </c>
      <c r="J59" s="1" t="s">
        <v>521</v>
      </c>
      <c r="K59" s="1" t="s">
        <v>122</v>
      </c>
      <c r="L59">
        <v>1611</v>
      </c>
      <c r="M59">
        <v>93300</v>
      </c>
    </row>
    <row r="60" spans="1:13">
      <c r="A60">
        <v>286</v>
      </c>
      <c r="B60" s="1" t="s">
        <v>522</v>
      </c>
      <c r="C60" s="1" t="s">
        <v>523</v>
      </c>
      <c r="D60" s="1" t="s">
        <v>524</v>
      </c>
      <c r="E60" s="1" t="s">
        <v>525</v>
      </c>
      <c r="F60" s="1" t="s">
        <v>526</v>
      </c>
      <c r="G60" s="1"/>
      <c r="H60" s="1" t="s">
        <v>286</v>
      </c>
      <c r="I60" s="1" t="s">
        <v>287</v>
      </c>
      <c r="J60" s="1" t="s">
        <v>288</v>
      </c>
      <c r="K60" s="1" t="s">
        <v>112</v>
      </c>
      <c r="L60">
        <v>1216</v>
      </c>
      <c r="M60">
        <v>123700</v>
      </c>
    </row>
    <row r="61" spans="1:13">
      <c r="A61">
        <v>293</v>
      </c>
      <c r="B61" s="1" t="s">
        <v>527</v>
      </c>
      <c r="C61" s="1" t="s">
        <v>528</v>
      </c>
      <c r="D61" s="1" t="s">
        <v>529</v>
      </c>
      <c r="E61" s="1" t="s">
        <v>530</v>
      </c>
      <c r="F61" s="1" t="s">
        <v>531</v>
      </c>
      <c r="G61" s="1"/>
      <c r="H61" s="1" t="s">
        <v>532</v>
      </c>
      <c r="I61" s="1"/>
      <c r="J61" s="1" t="s">
        <v>533</v>
      </c>
      <c r="K61" s="1" t="s">
        <v>534</v>
      </c>
      <c r="M61">
        <v>0</v>
      </c>
    </row>
    <row r="62" spans="1:13">
      <c r="A62">
        <v>298</v>
      </c>
      <c r="B62" s="1" t="s">
        <v>535</v>
      </c>
      <c r="C62" s="1" t="s">
        <v>536</v>
      </c>
      <c r="D62" s="1" t="s">
        <v>537</v>
      </c>
      <c r="E62" s="1" t="s">
        <v>538</v>
      </c>
      <c r="F62" s="1" t="s">
        <v>539</v>
      </c>
      <c r="G62" s="1"/>
      <c r="H62" s="1" t="s">
        <v>540</v>
      </c>
      <c r="I62" s="1"/>
      <c r="J62" s="1" t="s">
        <v>541</v>
      </c>
      <c r="K62" s="1" t="s">
        <v>534</v>
      </c>
      <c r="L62">
        <v>1702</v>
      </c>
      <c r="M62">
        <v>141300</v>
      </c>
    </row>
    <row r="63" spans="1:13">
      <c r="A63">
        <v>299</v>
      </c>
      <c r="B63" s="1" t="s">
        <v>542</v>
      </c>
      <c r="C63" s="1" t="s">
        <v>543</v>
      </c>
      <c r="D63" s="1" t="s">
        <v>544</v>
      </c>
      <c r="E63" s="1" t="s">
        <v>545</v>
      </c>
      <c r="F63" s="1" t="s">
        <v>546</v>
      </c>
      <c r="G63" s="1" t="s">
        <v>547</v>
      </c>
      <c r="H63" s="1" t="s">
        <v>548</v>
      </c>
      <c r="I63" s="1"/>
      <c r="J63" s="1" t="s">
        <v>549</v>
      </c>
      <c r="K63" s="1" t="s">
        <v>249</v>
      </c>
      <c r="L63">
        <v>1504</v>
      </c>
      <c r="M63">
        <v>95100</v>
      </c>
    </row>
    <row r="64" spans="1:13">
      <c r="A64">
        <v>303</v>
      </c>
      <c r="B64" s="1" t="s">
        <v>550</v>
      </c>
      <c r="C64" s="1" t="s">
        <v>551</v>
      </c>
      <c r="D64" s="1" t="s">
        <v>552</v>
      </c>
      <c r="E64" s="1" t="s">
        <v>553</v>
      </c>
      <c r="F64" s="1" t="s">
        <v>554</v>
      </c>
      <c r="G64" s="1"/>
      <c r="H64" s="1" t="s">
        <v>555</v>
      </c>
      <c r="I64" s="1"/>
      <c r="J64" s="1" t="s">
        <v>556</v>
      </c>
      <c r="K64" s="1" t="s">
        <v>557</v>
      </c>
      <c r="M64">
        <v>0</v>
      </c>
    </row>
    <row r="65" spans="1:13">
      <c r="A65">
        <v>307</v>
      </c>
      <c r="B65" s="1" t="s">
        <v>558</v>
      </c>
      <c r="C65" s="1" t="s">
        <v>559</v>
      </c>
      <c r="D65" s="1" t="s">
        <v>560</v>
      </c>
      <c r="E65" s="1" t="s">
        <v>561</v>
      </c>
      <c r="F65" s="1" t="s">
        <v>562</v>
      </c>
      <c r="G65" s="1"/>
      <c r="H65" s="1" t="s">
        <v>563</v>
      </c>
      <c r="I65" s="1"/>
      <c r="J65" s="1" t="s">
        <v>564</v>
      </c>
      <c r="K65" s="1" t="s">
        <v>159</v>
      </c>
      <c r="M65">
        <v>0</v>
      </c>
    </row>
    <row r="66" spans="1:13">
      <c r="A66">
        <v>311</v>
      </c>
      <c r="B66" s="1" t="s">
        <v>565</v>
      </c>
      <c r="C66" s="1" t="s">
        <v>566</v>
      </c>
      <c r="D66" s="1" t="s">
        <v>567</v>
      </c>
      <c r="E66" s="1" t="s">
        <v>568</v>
      </c>
      <c r="F66" s="1" t="s">
        <v>569</v>
      </c>
      <c r="G66" s="1"/>
      <c r="H66" s="1" t="s">
        <v>570</v>
      </c>
      <c r="I66" s="1"/>
      <c r="J66" s="1" t="s">
        <v>571</v>
      </c>
      <c r="K66" s="1" t="s">
        <v>314</v>
      </c>
      <c r="L66">
        <v>1501</v>
      </c>
      <c r="M66">
        <v>90500</v>
      </c>
    </row>
    <row r="67" spans="1:13">
      <c r="A67">
        <v>314</v>
      </c>
      <c r="B67" s="1" t="s">
        <v>572</v>
      </c>
      <c r="C67" s="1" t="s">
        <v>573</v>
      </c>
      <c r="D67" s="1" t="s">
        <v>574</v>
      </c>
      <c r="E67" s="1" t="s">
        <v>575</v>
      </c>
      <c r="F67" s="1" t="s">
        <v>576</v>
      </c>
      <c r="G67" s="1"/>
      <c r="H67" s="1" t="s">
        <v>577</v>
      </c>
      <c r="I67" s="1"/>
      <c r="J67" s="1" t="s">
        <v>578</v>
      </c>
      <c r="K67" s="1" t="s">
        <v>579</v>
      </c>
      <c r="L67">
        <v>1401</v>
      </c>
      <c r="M67">
        <v>79900</v>
      </c>
    </row>
    <row r="68" spans="1:13">
      <c r="A68">
        <v>319</v>
      </c>
      <c r="B68" s="1" t="s">
        <v>580</v>
      </c>
      <c r="C68" s="1" t="s">
        <v>303</v>
      </c>
      <c r="D68" s="1" t="s">
        <v>581</v>
      </c>
      <c r="E68" s="1" t="s">
        <v>582</v>
      </c>
      <c r="F68" s="1" t="s">
        <v>583</v>
      </c>
      <c r="G68" s="1"/>
      <c r="H68" s="1" t="s">
        <v>584</v>
      </c>
      <c r="I68" s="1" t="s">
        <v>173</v>
      </c>
      <c r="J68" s="1" t="s">
        <v>585</v>
      </c>
      <c r="K68" s="1" t="s">
        <v>112</v>
      </c>
      <c r="L68">
        <v>1323</v>
      </c>
      <c r="M68">
        <v>102700</v>
      </c>
    </row>
    <row r="69" spans="1:13">
      <c r="A69">
        <v>320</v>
      </c>
      <c r="B69" s="1" t="s">
        <v>586</v>
      </c>
      <c r="C69" s="1" t="s">
        <v>587</v>
      </c>
      <c r="D69" s="1" t="s">
        <v>588</v>
      </c>
      <c r="E69" s="1" t="s">
        <v>589</v>
      </c>
      <c r="F69" s="1" t="s">
        <v>590</v>
      </c>
      <c r="G69" s="1"/>
      <c r="H69" s="1" t="s">
        <v>591</v>
      </c>
      <c r="I69" s="1" t="s">
        <v>287</v>
      </c>
      <c r="J69" s="1" t="s">
        <v>592</v>
      </c>
      <c r="K69" s="1" t="s">
        <v>112</v>
      </c>
      <c r="L69">
        <v>1188</v>
      </c>
      <c r="M69">
        <v>94500</v>
      </c>
    </row>
    <row r="70" spans="1:13">
      <c r="A70">
        <v>321</v>
      </c>
      <c r="B70" s="1" t="s">
        <v>593</v>
      </c>
      <c r="C70" s="1" t="s">
        <v>594</v>
      </c>
      <c r="D70" s="1" t="s">
        <v>162</v>
      </c>
      <c r="E70" s="1" t="s">
        <v>595</v>
      </c>
      <c r="F70" s="1" t="s">
        <v>596</v>
      </c>
      <c r="G70" s="1"/>
      <c r="H70" s="1" t="s">
        <v>165</v>
      </c>
      <c r="I70" s="1" t="s">
        <v>142</v>
      </c>
      <c r="J70" s="1" t="s">
        <v>166</v>
      </c>
      <c r="K70" s="1" t="s">
        <v>112</v>
      </c>
      <c r="L70">
        <v>1165</v>
      </c>
      <c r="M70">
        <v>105000</v>
      </c>
    </row>
    <row r="71" spans="1:13">
      <c r="A71">
        <v>323</v>
      </c>
      <c r="B71" s="1" t="s">
        <v>597</v>
      </c>
      <c r="C71" s="1" t="s">
        <v>598</v>
      </c>
      <c r="D71" s="1" t="s">
        <v>381</v>
      </c>
      <c r="E71" s="1" t="s">
        <v>599</v>
      </c>
      <c r="F71" s="1" t="s">
        <v>600</v>
      </c>
      <c r="G71" s="1" t="s">
        <v>601</v>
      </c>
      <c r="H71" s="1" t="s">
        <v>602</v>
      </c>
      <c r="I71" s="1"/>
      <c r="J71" s="1"/>
      <c r="K71" s="1" t="s">
        <v>603</v>
      </c>
      <c r="L71">
        <v>1612</v>
      </c>
      <c r="M71">
        <v>88000</v>
      </c>
    </row>
    <row r="72" spans="1:13">
      <c r="A72">
        <v>324</v>
      </c>
      <c r="B72" s="1" t="s">
        <v>604</v>
      </c>
      <c r="C72" s="1" t="s">
        <v>594</v>
      </c>
      <c r="D72" s="1" t="s">
        <v>605</v>
      </c>
      <c r="E72" s="1" t="s">
        <v>606</v>
      </c>
      <c r="F72" s="1" t="s">
        <v>607</v>
      </c>
      <c r="G72" s="1"/>
      <c r="H72" s="1" t="s">
        <v>608</v>
      </c>
      <c r="I72" s="1"/>
      <c r="J72" s="1" t="s">
        <v>609</v>
      </c>
      <c r="K72" s="1" t="s">
        <v>322</v>
      </c>
      <c r="L72">
        <v>1501</v>
      </c>
      <c r="M72">
        <v>77000</v>
      </c>
    </row>
    <row r="73" spans="1:13">
      <c r="A73">
        <v>328</v>
      </c>
      <c r="B73" s="1" t="s">
        <v>610</v>
      </c>
      <c r="C73" s="1" t="s">
        <v>594</v>
      </c>
      <c r="D73" s="1" t="s">
        <v>611</v>
      </c>
      <c r="E73" s="1" t="s">
        <v>612</v>
      </c>
      <c r="F73" s="1" t="s">
        <v>613</v>
      </c>
      <c r="G73" s="1"/>
      <c r="H73" s="1" t="s">
        <v>614</v>
      </c>
      <c r="I73" s="1" t="s">
        <v>615</v>
      </c>
      <c r="J73" s="1" t="s">
        <v>616</v>
      </c>
      <c r="K73" s="1" t="s">
        <v>112</v>
      </c>
      <c r="L73">
        <v>1323</v>
      </c>
      <c r="M73">
        <v>43000</v>
      </c>
    </row>
    <row r="74" spans="1:13">
      <c r="A74">
        <v>333</v>
      </c>
      <c r="B74" s="1" t="s">
        <v>617</v>
      </c>
      <c r="C74" s="1" t="s">
        <v>618</v>
      </c>
      <c r="D74" s="1" t="s">
        <v>619</v>
      </c>
      <c r="E74" s="1" t="s">
        <v>620</v>
      </c>
      <c r="F74" s="1" t="s">
        <v>621</v>
      </c>
      <c r="G74" s="1"/>
      <c r="H74" s="1" t="s">
        <v>622</v>
      </c>
      <c r="I74" s="1" t="s">
        <v>623</v>
      </c>
      <c r="J74" s="1" t="s">
        <v>624</v>
      </c>
      <c r="K74" s="1" t="s">
        <v>122</v>
      </c>
      <c r="L74">
        <v>1611</v>
      </c>
      <c r="M74">
        <v>51600</v>
      </c>
    </row>
    <row r="75" spans="1:13">
      <c r="A75">
        <v>334</v>
      </c>
      <c r="B75" s="1" t="s">
        <v>625</v>
      </c>
      <c r="C75" s="1" t="s">
        <v>626</v>
      </c>
      <c r="D75" s="1" t="s">
        <v>627</v>
      </c>
      <c r="E75" s="1" t="s">
        <v>628</v>
      </c>
      <c r="F75" s="1" t="s">
        <v>629</v>
      </c>
      <c r="G75" s="1" t="s">
        <v>630</v>
      </c>
      <c r="H75" s="1" t="s">
        <v>631</v>
      </c>
      <c r="I75" s="1"/>
      <c r="J75" s="1" t="s">
        <v>632</v>
      </c>
      <c r="K75" s="1" t="s">
        <v>314</v>
      </c>
      <c r="L75">
        <v>1501</v>
      </c>
      <c r="M75">
        <v>98800</v>
      </c>
    </row>
    <row r="76" spans="1:13">
      <c r="A76">
        <v>335</v>
      </c>
      <c r="B76" s="1" t="s">
        <v>633</v>
      </c>
      <c r="C76" s="1" t="s">
        <v>634</v>
      </c>
      <c r="D76" s="1" t="s">
        <v>635</v>
      </c>
      <c r="E76" s="1" t="s">
        <v>636</v>
      </c>
      <c r="F76" s="1" t="s">
        <v>637</v>
      </c>
      <c r="G76" s="1"/>
      <c r="H76" s="1" t="s">
        <v>638</v>
      </c>
      <c r="I76" s="1"/>
      <c r="J76" s="1" t="s">
        <v>639</v>
      </c>
      <c r="K76" s="1" t="s">
        <v>159</v>
      </c>
      <c r="M76">
        <v>0</v>
      </c>
    </row>
    <row r="77" spans="1:13">
      <c r="A77">
        <v>339</v>
      </c>
      <c r="B77" s="1" t="s">
        <v>640</v>
      </c>
      <c r="C77" s="1" t="s">
        <v>641</v>
      </c>
      <c r="D77" s="1" t="s">
        <v>642</v>
      </c>
      <c r="E77" s="1" t="s">
        <v>643</v>
      </c>
      <c r="F77" s="1" t="s">
        <v>644</v>
      </c>
      <c r="G77" s="1"/>
      <c r="H77" s="1" t="s">
        <v>645</v>
      </c>
      <c r="I77" s="1" t="s">
        <v>226</v>
      </c>
      <c r="J77" s="1" t="s">
        <v>646</v>
      </c>
      <c r="K77" s="1" t="s">
        <v>112</v>
      </c>
      <c r="L77">
        <v>1188</v>
      </c>
      <c r="M77">
        <v>81100</v>
      </c>
    </row>
    <row r="78" spans="1:13">
      <c r="A78">
        <v>344</v>
      </c>
      <c r="B78" s="1" t="s">
        <v>647</v>
      </c>
      <c r="C78" s="1" t="s">
        <v>648</v>
      </c>
      <c r="D78" s="1" t="s">
        <v>649</v>
      </c>
      <c r="E78" s="1" t="s">
        <v>650</v>
      </c>
      <c r="F78" s="1" t="s">
        <v>651</v>
      </c>
      <c r="G78" s="1" t="s">
        <v>652</v>
      </c>
      <c r="H78" s="1" t="s">
        <v>180</v>
      </c>
      <c r="I78" s="1"/>
      <c r="J78" s="1" t="s">
        <v>653</v>
      </c>
      <c r="K78" s="1" t="s">
        <v>182</v>
      </c>
      <c r="L78">
        <v>1702</v>
      </c>
      <c r="M78">
        <v>59600</v>
      </c>
    </row>
    <row r="79" spans="1:13">
      <c r="A79">
        <v>347</v>
      </c>
      <c r="B79" s="1" t="s">
        <v>654</v>
      </c>
      <c r="C79" s="1" t="s">
        <v>655</v>
      </c>
      <c r="D79" s="1" t="s">
        <v>656</v>
      </c>
      <c r="E79" s="1" t="s">
        <v>657</v>
      </c>
      <c r="F79" s="1" t="s">
        <v>658</v>
      </c>
      <c r="G79" s="1"/>
      <c r="H79" s="1" t="s">
        <v>659</v>
      </c>
      <c r="I79" s="1" t="s">
        <v>142</v>
      </c>
      <c r="J79" s="1" t="s">
        <v>660</v>
      </c>
      <c r="K79" s="1" t="s">
        <v>112</v>
      </c>
      <c r="L79">
        <v>1166</v>
      </c>
      <c r="M79">
        <v>57700</v>
      </c>
    </row>
    <row r="80" spans="1:13">
      <c r="A80">
        <v>348</v>
      </c>
      <c r="B80" s="1" t="s">
        <v>661</v>
      </c>
      <c r="C80" s="1" t="s">
        <v>662</v>
      </c>
      <c r="D80" s="1" t="s">
        <v>663</v>
      </c>
      <c r="E80" s="1" t="s">
        <v>664</v>
      </c>
      <c r="F80" s="1" t="s">
        <v>665</v>
      </c>
      <c r="G80" s="1"/>
      <c r="H80" s="1" t="s">
        <v>666</v>
      </c>
      <c r="I80" s="1" t="s">
        <v>667</v>
      </c>
      <c r="J80" s="1"/>
      <c r="K80" s="1" t="s">
        <v>331</v>
      </c>
      <c r="M80">
        <v>0</v>
      </c>
    </row>
    <row r="81" spans="1:13">
      <c r="A81">
        <v>350</v>
      </c>
      <c r="B81" s="1" t="s">
        <v>668</v>
      </c>
      <c r="C81" s="1" t="s">
        <v>669</v>
      </c>
      <c r="D81" s="1" t="s">
        <v>670</v>
      </c>
      <c r="E81" s="1" t="s">
        <v>671</v>
      </c>
      <c r="F81" s="1" t="s">
        <v>672</v>
      </c>
      <c r="G81" s="1"/>
      <c r="H81" s="1" t="s">
        <v>673</v>
      </c>
      <c r="I81" s="1"/>
      <c r="J81" s="1" t="s">
        <v>674</v>
      </c>
      <c r="K81" s="1" t="s">
        <v>103</v>
      </c>
      <c r="L81">
        <v>1337</v>
      </c>
      <c r="M81">
        <v>65000</v>
      </c>
    </row>
    <row r="82" spans="1:13">
      <c r="A82">
        <v>353</v>
      </c>
      <c r="B82" s="1" t="s">
        <v>675</v>
      </c>
      <c r="C82" s="1" t="s">
        <v>676</v>
      </c>
      <c r="D82" s="1" t="s">
        <v>677</v>
      </c>
      <c r="E82" s="1" t="s">
        <v>678</v>
      </c>
      <c r="F82" s="1" t="s">
        <v>679</v>
      </c>
      <c r="G82" s="1"/>
      <c r="H82" s="1" t="s">
        <v>680</v>
      </c>
      <c r="I82" s="1"/>
      <c r="J82" s="1" t="s">
        <v>681</v>
      </c>
      <c r="K82" s="1" t="s">
        <v>103</v>
      </c>
      <c r="L82">
        <v>1337</v>
      </c>
      <c r="M82">
        <v>81100</v>
      </c>
    </row>
    <row r="83" spans="1:13">
      <c r="A83">
        <v>356</v>
      </c>
      <c r="B83" s="1" t="s">
        <v>682</v>
      </c>
      <c r="C83" s="1" t="s">
        <v>683</v>
      </c>
      <c r="D83" s="1" t="s">
        <v>684</v>
      </c>
      <c r="E83" s="1" t="s">
        <v>685</v>
      </c>
      <c r="F83" s="1" t="s">
        <v>686</v>
      </c>
      <c r="G83" s="1"/>
      <c r="H83" s="1" t="s">
        <v>687</v>
      </c>
      <c r="I83" s="1" t="s">
        <v>688</v>
      </c>
      <c r="J83" s="1" t="s">
        <v>689</v>
      </c>
      <c r="K83" s="1" t="s">
        <v>690</v>
      </c>
      <c r="M83">
        <v>0</v>
      </c>
    </row>
    <row r="84" spans="1:13">
      <c r="A84">
        <v>357</v>
      </c>
      <c r="B84" s="1" t="s">
        <v>691</v>
      </c>
      <c r="C84" s="1" t="s">
        <v>692</v>
      </c>
      <c r="D84" s="1" t="s">
        <v>693</v>
      </c>
      <c r="E84" s="1" t="s">
        <v>694</v>
      </c>
      <c r="F84" s="1" t="s">
        <v>695</v>
      </c>
      <c r="G84" s="1"/>
      <c r="H84" s="1" t="s">
        <v>696</v>
      </c>
      <c r="I84" s="1"/>
      <c r="J84" s="1"/>
      <c r="K84" s="1" t="s">
        <v>603</v>
      </c>
      <c r="L84">
        <v>1612</v>
      </c>
      <c r="M84">
        <v>77700</v>
      </c>
    </row>
    <row r="85" spans="1:13">
      <c r="A85">
        <v>361</v>
      </c>
      <c r="B85" s="1" t="s">
        <v>697</v>
      </c>
      <c r="C85" s="1" t="s">
        <v>698</v>
      </c>
      <c r="D85" s="1" t="s">
        <v>699</v>
      </c>
      <c r="E85" s="1" t="s">
        <v>700</v>
      </c>
      <c r="F85" s="1" t="s">
        <v>701</v>
      </c>
      <c r="G85" s="1"/>
      <c r="H85" s="1" t="s">
        <v>702</v>
      </c>
      <c r="I85" s="1"/>
      <c r="J85" s="1" t="s">
        <v>703</v>
      </c>
      <c r="K85" s="1" t="s">
        <v>159</v>
      </c>
      <c r="M85">
        <v>0</v>
      </c>
    </row>
    <row r="86" spans="1:13">
      <c r="A86">
        <v>362</v>
      </c>
      <c r="B86" s="1" t="s">
        <v>704</v>
      </c>
      <c r="C86" s="1" t="s">
        <v>705</v>
      </c>
      <c r="D86" s="1" t="s">
        <v>230</v>
      </c>
      <c r="E86" s="1" t="s">
        <v>706</v>
      </c>
      <c r="F86" s="1" t="s">
        <v>707</v>
      </c>
      <c r="G86" s="1"/>
      <c r="H86" s="1" t="s">
        <v>708</v>
      </c>
      <c r="I86" s="1" t="s">
        <v>287</v>
      </c>
      <c r="J86" s="1" t="s">
        <v>709</v>
      </c>
      <c r="K86" s="1" t="s">
        <v>112</v>
      </c>
      <c r="L86">
        <v>1216</v>
      </c>
      <c r="M86">
        <v>41900</v>
      </c>
    </row>
    <row r="87" spans="1:13">
      <c r="A87">
        <v>363</v>
      </c>
      <c r="B87" s="1" t="s">
        <v>710</v>
      </c>
      <c r="C87" s="1" t="s">
        <v>215</v>
      </c>
      <c r="D87" s="1" t="s">
        <v>711</v>
      </c>
      <c r="E87" s="1" t="s">
        <v>712</v>
      </c>
      <c r="F87" s="1" t="s">
        <v>713</v>
      </c>
      <c r="G87" s="1"/>
      <c r="H87" s="1" t="s">
        <v>714</v>
      </c>
      <c r="I87" s="1" t="s">
        <v>715</v>
      </c>
      <c r="J87" s="1" t="s">
        <v>716</v>
      </c>
      <c r="K87" s="1" t="s">
        <v>112</v>
      </c>
      <c r="L87">
        <v>1216</v>
      </c>
      <c r="M87">
        <v>114200</v>
      </c>
    </row>
    <row r="88" spans="1:13">
      <c r="A88">
        <v>369</v>
      </c>
      <c r="B88" s="1" t="s">
        <v>717</v>
      </c>
      <c r="C88" s="1" t="s">
        <v>718</v>
      </c>
      <c r="D88" s="1" t="s">
        <v>719</v>
      </c>
      <c r="E88" s="1" t="s">
        <v>720</v>
      </c>
      <c r="F88" s="1" t="s">
        <v>721</v>
      </c>
      <c r="G88" s="1"/>
      <c r="H88" s="1" t="s">
        <v>264</v>
      </c>
      <c r="I88" s="1"/>
      <c r="J88" s="1" t="s">
        <v>722</v>
      </c>
      <c r="K88" s="1" t="s">
        <v>266</v>
      </c>
      <c r="M88">
        <v>0</v>
      </c>
    </row>
    <row r="89" spans="1:13">
      <c r="A89">
        <v>376</v>
      </c>
      <c r="B89" s="1" t="s">
        <v>723</v>
      </c>
      <c r="C89" s="1" t="s">
        <v>724</v>
      </c>
      <c r="D89" s="1" t="s">
        <v>725</v>
      </c>
      <c r="E89" s="1" t="s">
        <v>726</v>
      </c>
      <c r="F89" s="1" t="s">
        <v>727</v>
      </c>
      <c r="G89" s="1"/>
      <c r="H89" s="1" t="s">
        <v>728</v>
      </c>
      <c r="I89" s="1"/>
      <c r="J89" s="1" t="s">
        <v>729</v>
      </c>
      <c r="K89" s="1" t="s">
        <v>534</v>
      </c>
      <c r="L89">
        <v>1702</v>
      </c>
      <c r="M89">
        <v>0</v>
      </c>
    </row>
    <row r="90" spans="1:13">
      <c r="A90">
        <v>379</v>
      </c>
      <c r="B90" s="1" t="s">
        <v>730</v>
      </c>
      <c r="C90" s="1" t="s">
        <v>137</v>
      </c>
      <c r="D90" s="1" t="s">
        <v>731</v>
      </c>
      <c r="E90" s="1" t="s">
        <v>525</v>
      </c>
      <c r="F90" s="1" t="s">
        <v>732</v>
      </c>
      <c r="G90" s="1"/>
      <c r="H90" s="1" t="s">
        <v>337</v>
      </c>
      <c r="I90" s="1" t="s">
        <v>287</v>
      </c>
      <c r="J90" s="1" t="s">
        <v>338</v>
      </c>
      <c r="K90" s="1" t="s">
        <v>112</v>
      </c>
      <c r="L90">
        <v>1188</v>
      </c>
      <c r="M90">
        <v>70700</v>
      </c>
    </row>
    <row r="91" spans="1:13">
      <c r="A91">
        <v>381</v>
      </c>
      <c r="B91" s="1" t="s">
        <v>733</v>
      </c>
      <c r="C91" s="1" t="s">
        <v>734</v>
      </c>
      <c r="D91" s="1" t="s">
        <v>735</v>
      </c>
      <c r="E91" s="1" t="s">
        <v>736</v>
      </c>
      <c r="F91" s="1" t="s">
        <v>737</v>
      </c>
      <c r="G91" s="1"/>
      <c r="H91" s="1" t="s">
        <v>738</v>
      </c>
      <c r="I91" s="1"/>
      <c r="J91" s="1" t="s">
        <v>739</v>
      </c>
      <c r="K91" s="1" t="s">
        <v>579</v>
      </c>
      <c r="L91">
        <v>1401</v>
      </c>
      <c r="M91">
        <v>23500</v>
      </c>
    </row>
    <row r="92" spans="1:13">
      <c r="A92">
        <v>382</v>
      </c>
      <c r="B92" s="1" t="s">
        <v>740</v>
      </c>
      <c r="C92" s="1" t="s">
        <v>741</v>
      </c>
      <c r="D92" s="1" t="s">
        <v>742</v>
      </c>
      <c r="E92" s="1" t="s">
        <v>743</v>
      </c>
      <c r="F92" s="1" t="s">
        <v>744</v>
      </c>
      <c r="G92" s="1"/>
      <c r="H92" s="1" t="s">
        <v>745</v>
      </c>
      <c r="I92" s="1"/>
      <c r="J92" s="1" t="s">
        <v>746</v>
      </c>
      <c r="K92" s="1" t="s">
        <v>747</v>
      </c>
      <c r="L92">
        <v>1401</v>
      </c>
      <c r="M92">
        <v>71700</v>
      </c>
    </row>
    <row r="93" spans="1:13">
      <c r="A93">
        <v>385</v>
      </c>
      <c r="B93" s="1" t="s">
        <v>748</v>
      </c>
      <c r="C93" s="1" t="s">
        <v>749</v>
      </c>
      <c r="D93" s="1" t="s">
        <v>750</v>
      </c>
      <c r="E93" s="1" t="s">
        <v>751</v>
      </c>
      <c r="F93" s="1" t="s">
        <v>752</v>
      </c>
      <c r="G93" s="1" t="s">
        <v>753</v>
      </c>
      <c r="H93" s="1" t="s">
        <v>754</v>
      </c>
      <c r="I93" s="1"/>
      <c r="J93" s="1" t="s">
        <v>755</v>
      </c>
      <c r="K93" s="1" t="s">
        <v>756</v>
      </c>
      <c r="L93">
        <v>1621</v>
      </c>
      <c r="M93">
        <v>81500</v>
      </c>
    </row>
    <row r="94" spans="1:13">
      <c r="A94">
        <v>386</v>
      </c>
      <c r="B94" s="1" t="s">
        <v>757</v>
      </c>
      <c r="C94" s="1" t="s">
        <v>758</v>
      </c>
      <c r="D94" s="1" t="s">
        <v>759</v>
      </c>
      <c r="E94" s="1" t="s">
        <v>760</v>
      </c>
      <c r="F94" s="1" t="s">
        <v>761</v>
      </c>
      <c r="G94" s="1"/>
      <c r="H94" s="1" t="s">
        <v>762</v>
      </c>
      <c r="I94" s="1"/>
      <c r="J94" s="1" t="s">
        <v>763</v>
      </c>
      <c r="K94" s="1" t="s">
        <v>463</v>
      </c>
      <c r="L94">
        <v>1401</v>
      </c>
      <c r="M94">
        <v>121400</v>
      </c>
    </row>
    <row r="95" spans="1:13">
      <c r="A95">
        <v>398</v>
      </c>
      <c r="B95" s="1" t="s">
        <v>764</v>
      </c>
      <c r="C95" s="1" t="s">
        <v>765</v>
      </c>
      <c r="D95" s="1" t="s">
        <v>766</v>
      </c>
      <c r="E95" s="1" t="s">
        <v>767</v>
      </c>
      <c r="F95" s="1" t="s">
        <v>768</v>
      </c>
      <c r="G95" s="1"/>
      <c r="H95" s="1" t="s">
        <v>769</v>
      </c>
      <c r="I95" s="1" t="s">
        <v>770</v>
      </c>
      <c r="J95" s="1" t="s">
        <v>771</v>
      </c>
      <c r="K95" s="1" t="s">
        <v>301</v>
      </c>
      <c r="L95">
        <v>1621</v>
      </c>
      <c r="M95">
        <v>94400</v>
      </c>
    </row>
    <row r="96" spans="1:13">
      <c r="A96">
        <v>406</v>
      </c>
      <c r="B96" s="1" t="s">
        <v>772</v>
      </c>
      <c r="C96" s="1" t="s">
        <v>773</v>
      </c>
      <c r="D96" s="1" t="s">
        <v>774</v>
      </c>
      <c r="E96" s="1" t="s">
        <v>775</v>
      </c>
      <c r="F96" s="1" t="s">
        <v>776</v>
      </c>
      <c r="G96" s="1"/>
      <c r="H96" s="1" t="s">
        <v>279</v>
      </c>
      <c r="I96" s="1"/>
      <c r="J96" s="1" t="s">
        <v>777</v>
      </c>
      <c r="K96" s="1" t="s">
        <v>103</v>
      </c>
      <c r="L96">
        <v>1337</v>
      </c>
      <c r="M96">
        <v>95000</v>
      </c>
    </row>
    <row r="97" spans="1:13">
      <c r="A97">
        <v>409</v>
      </c>
      <c r="B97" s="1" t="s">
        <v>778</v>
      </c>
      <c r="C97" s="1" t="s">
        <v>779</v>
      </c>
      <c r="D97" s="1" t="s">
        <v>780</v>
      </c>
      <c r="E97" s="1" t="s">
        <v>781</v>
      </c>
      <c r="F97" s="1" t="s">
        <v>782</v>
      </c>
      <c r="G97" s="1"/>
      <c r="H97" s="1" t="s">
        <v>783</v>
      </c>
      <c r="I97" s="1"/>
      <c r="J97" s="1" t="s">
        <v>784</v>
      </c>
      <c r="K97" s="1" t="s">
        <v>159</v>
      </c>
      <c r="M97">
        <v>0</v>
      </c>
    </row>
    <row r="98" spans="1:13">
      <c r="A98">
        <v>412</v>
      </c>
      <c r="B98" s="1" t="s">
        <v>785</v>
      </c>
      <c r="C98" s="1" t="s">
        <v>786</v>
      </c>
      <c r="D98" s="1" t="s">
        <v>787</v>
      </c>
      <c r="E98" s="1" t="s">
        <v>788</v>
      </c>
      <c r="F98" s="1" t="s">
        <v>789</v>
      </c>
      <c r="G98" s="1" t="s">
        <v>790</v>
      </c>
      <c r="H98" s="1" t="s">
        <v>791</v>
      </c>
      <c r="I98" s="1"/>
      <c r="J98" s="1"/>
      <c r="K98" s="1" t="s">
        <v>603</v>
      </c>
      <c r="L98">
        <v>1612</v>
      </c>
      <c r="M98">
        <v>86800</v>
      </c>
    </row>
    <row r="99" spans="1:13">
      <c r="A99">
        <v>415</v>
      </c>
      <c r="B99" s="1" t="s">
        <v>792</v>
      </c>
      <c r="C99" s="1" t="s">
        <v>793</v>
      </c>
      <c r="D99" s="1" t="s">
        <v>304</v>
      </c>
      <c r="E99" s="1" t="s">
        <v>794</v>
      </c>
      <c r="F99" s="1" t="s">
        <v>795</v>
      </c>
      <c r="G99" s="1"/>
      <c r="H99" s="1" t="s">
        <v>796</v>
      </c>
      <c r="I99" s="1"/>
      <c r="J99" s="1" t="s">
        <v>797</v>
      </c>
      <c r="K99" s="1" t="s">
        <v>159</v>
      </c>
      <c r="L99">
        <v>1504</v>
      </c>
      <c r="M99">
        <v>77000</v>
      </c>
    </row>
    <row r="100" spans="1:13">
      <c r="A100">
        <v>424</v>
      </c>
      <c r="B100" s="1" t="s">
        <v>798</v>
      </c>
      <c r="C100" s="1" t="s">
        <v>523</v>
      </c>
      <c r="D100" s="1" t="s">
        <v>799</v>
      </c>
      <c r="E100" s="1" t="s">
        <v>800</v>
      </c>
      <c r="F100" s="1" t="s">
        <v>801</v>
      </c>
      <c r="G100" s="1" t="s">
        <v>802</v>
      </c>
      <c r="H100" s="1" t="s">
        <v>172</v>
      </c>
      <c r="I100" s="1" t="s">
        <v>173</v>
      </c>
      <c r="J100" s="1" t="s">
        <v>174</v>
      </c>
      <c r="K100" s="1" t="s">
        <v>112</v>
      </c>
      <c r="L100">
        <v>1286</v>
      </c>
      <c r="M100">
        <v>67500</v>
      </c>
    </row>
    <row r="101" spans="1:13">
      <c r="A101">
        <v>443</v>
      </c>
      <c r="B101" s="1" t="s">
        <v>803</v>
      </c>
      <c r="C101" s="1" t="s">
        <v>804</v>
      </c>
      <c r="D101" s="1" t="s">
        <v>805</v>
      </c>
      <c r="E101" s="1" t="s">
        <v>806</v>
      </c>
      <c r="F101" s="1" t="s">
        <v>807</v>
      </c>
      <c r="G101" s="1"/>
      <c r="H101" s="1" t="s">
        <v>808</v>
      </c>
      <c r="I101" s="1"/>
      <c r="J101" s="1" t="s">
        <v>809</v>
      </c>
      <c r="K101" s="1" t="s">
        <v>159</v>
      </c>
      <c r="M101">
        <v>0</v>
      </c>
    </row>
    <row r="102" spans="1:13">
      <c r="A102">
        <v>447</v>
      </c>
      <c r="B102" s="1" t="s">
        <v>810</v>
      </c>
      <c r="C102" s="1" t="s">
        <v>811</v>
      </c>
      <c r="D102" s="1" t="s">
        <v>812</v>
      </c>
      <c r="E102" s="1" t="s">
        <v>813</v>
      </c>
      <c r="F102" s="1" t="s">
        <v>814</v>
      </c>
      <c r="G102" s="1"/>
      <c r="H102" s="1" t="s">
        <v>398</v>
      </c>
      <c r="I102" s="1" t="s">
        <v>257</v>
      </c>
      <c r="J102" s="1" t="s">
        <v>815</v>
      </c>
      <c r="K102" s="1" t="s">
        <v>112</v>
      </c>
      <c r="L102">
        <v>1323</v>
      </c>
      <c r="M102">
        <v>49700</v>
      </c>
    </row>
    <row r="103" spans="1:13">
      <c r="A103">
        <v>448</v>
      </c>
      <c r="B103" s="1" t="s">
        <v>816</v>
      </c>
      <c r="C103" s="1" t="s">
        <v>817</v>
      </c>
      <c r="D103" s="1" t="s">
        <v>818</v>
      </c>
      <c r="E103" s="1" t="s">
        <v>819</v>
      </c>
      <c r="F103" s="1" t="s">
        <v>820</v>
      </c>
      <c r="G103" s="1"/>
      <c r="H103" s="1" t="s">
        <v>821</v>
      </c>
      <c r="I103" s="1"/>
      <c r="J103" s="1" t="s">
        <v>822</v>
      </c>
      <c r="K103" s="1" t="s">
        <v>190</v>
      </c>
      <c r="L103">
        <v>1504</v>
      </c>
      <c r="M103">
        <v>116400</v>
      </c>
    </row>
    <row r="104" spans="1:13">
      <c r="A104">
        <v>450</v>
      </c>
      <c r="B104" s="1" t="s">
        <v>823</v>
      </c>
      <c r="C104" s="1" t="s">
        <v>303</v>
      </c>
      <c r="D104" s="1" t="s">
        <v>824</v>
      </c>
      <c r="E104" s="1" t="s">
        <v>825</v>
      </c>
      <c r="F104" s="1" t="s">
        <v>826</v>
      </c>
      <c r="G104" s="1"/>
      <c r="H104" s="1" t="s">
        <v>827</v>
      </c>
      <c r="I104" s="1" t="s">
        <v>142</v>
      </c>
      <c r="J104" s="1" t="s">
        <v>166</v>
      </c>
      <c r="K104" s="1" t="s">
        <v>112</v>
      </c>
      <c r="L104">
        <v>1165</v>
      </c>
      <c r="M104">
        <v>77600</v>
      </c>
    </row>
    <row r="105" spans="1:13">
      <c r="A105">
        <v>452</v>
      </c>
      <c r="B105" s="1" t="s">
        <v>828</v>
      </c>
      <c r="C105" s="1" t="s">
        <v>829</v>
      </c>
      <c r="D105" s="1" t="s">
        <v>830</v>
      </c>
      <c r="E105" s="1" t="s">
        <v>831</v>
      </c>
      <c r="F105" s="1" t="s">
        <v>832</v>
      </c>
      <c r="G105" s="1"/>
      <c r="H105" s="1" t="s">
        <v>833</v>
      </c>
      <c r="I105" s="1"/>
      <c r="J105" s="1" t="s">
        <v>834</v>
      </c>
      <c r="K105" s="1" t="s">
        <v>747</v>
      </c>
      <c r="L105">
        <v>1401</v>
      </c>
      <c r="M105">
        <v>45300</v>
      </c>
    </row>
    <row r="106" spans="1:13">
      <c r="A106">
        <v>455</v>
      </c>
      <c r="B106" s="1" t="s">
        <v>835</v>
      </c>
      <c r="C106" s="1" t="s">
        <v>161</v>
      </c>
      <c r="D106" s="1" t="s">
        <v>334</v>
      </c>
      <c r="E106" s="1" t="s">
        <v>836</v>
      </c>
      <c r="F106" s="1" t="s">
        <v>837</v>
      </c>
      <c r="G106" s="1"/>
      <c r="H106" s="1" t="s">
        <v>256</v>
      </c>
      <c r="I106" s="1" t="s">
        <v>257</v>
      </c>
      <c r="J106" s="1" t="s">
        <v>258</v>
      </c>
      <c r="K106" s="1" t="s">
        <v>112</v>
      </c>
      <c r="L106">
        <v>1286</v>
      </c>
      <c r="M106">
        <v>95400</v>
      </c>
    </row>
    <row r="107" spans="1:13">
      <c r="A107">
        <v>456</v>
      </c>
      <c r="B107" s="1" t="s">
        <v>838</v>
      </c>
      <c r="C107" s="1" t="s">
        <v>839</v>
      </c>
      <c r="D107" s="1" t="s">
        <v>840</v>
      </c>
      <c r="E107" s="1" t="s">
        <v>841</v>
      </c>
      <c r="F107" s="1" t="s">
        <v>842</v>
      </c>
      <c r="G107" s="1" t="s">
        <v>843</v>
      </c>
      <c r="H107" s="1" t="s">
        <v>172</v>
      </c>
      <c r="I107" s="1" t="s">
        <v>173</v>
      </c>
      <c r="J107" s="1" t="s">
        <v>174</v>
      </c>
      <c r="K107" s="1" t="s">
        <v>112</v>
      </c>
      <c r="L107">
        <v>1286</v>
      </c>
      <c r="M107">
        <v>39800</v>
      </c>
    </row>
    <row r="108" spans="1:13">
      <c r="A108">
        <v>458</v>
      </c>
      <c r="B108" s="1" t="s">
        <v>844</v>
      </c>
      <c r="C108" s="1" t="s">
        <v>845</v>
      </c>
      <c r="D108" s="1" t="s">
        <v>846</v>
      </c>
      <c r="E108" s="1" t="s">
        <v>847</v>
      </c>
      <c r="F108" s="1" t="s">
        <v>848</v>
      </c>
      <c r="G108" s="1"/>
      <c r="H108" s="1" t="s">
        <v>180</v>
      </c>
      <c r="I108" s="1"/>
      <c r="J108" s="1" t="s">
        <v>653</v>
      </c>
      <c r="K108" s="1" t="s">
        <v>182</v>
      </c>
      <c r="L108">
        <v>1702</v>
      </c>
      <c r="M108">
        <v>104600</v>
      </c>
    </row>
    <row r="109" spans="1:13">
      <c r="A109">
        <v>459</v>
      </c>
      <c r="B109" s="1" t="s">
        <v>849</v>
      </c>
      <c r="C109" s="1" t="s">
        <v>850</v>
      </c>
      <c r="D109" s="1" t="s">
        <v>851</v>
      </c>
      <c r="E109" s="1" t="s">
        <v>852</v>
      </c>
      <c r="F109" s="1" t="s">
        <v>853</v>
      </c>
      <c r="G109" s="1"/>
      <c r="H109" s="1" t="s">
        <v>854</v>
      </c>
      <c r="I109" s="1"/>
      <c r="J109" s="1" t="s">
        <v>855</v>
      </c>
      <c r="K109" s="1" t="s">
        <v>159</v>
      </c>
      <c r="M109">
        <v>0</v>
      </c>
    </row>
    <row r="110" spans="1:13">
      <c r="A110">
        <v>462</v>
      </c>
      <c r="B110" s="1" t="s">
        <v>856</v>
      </c>
      <c r="C110" s="1" t="s">
        <v>857</v>
      </c>
      <c r="D110" s="1" t="s">
        <v>858</v>
      </c>
      <c r="E110" s="1" t="s">
        <v>859</v>
      </c>
      <c r="F110" s="1" t="s">
        <v>860</v>
      </c>
      <c r="G110" s="1"/>
      <c r="H110" s="1" t="s">
        <v>591</v>
      </c>
      <c r="I110" s="1" t="s">
        <v>287</v>
      </c>
      <c r="J110" s="1" t="s">
        <v>592</v>
      </c>
      <c r="K110" s="1" t="s">
        <v>112</v>
      </c>
      <c r="L110">
        <v>1216</v>
      </c>
      <c r="M110">
        <v>85800</v>
      </c>
    </row>
    <row r="111" spans="1:13">
      <c r="A111">
        <v>465</v>
      </c>
      <c r="B111" s="1" t="s">
        <v>861</v>
      </c>
      <c r="C111" s="1" t="s">
        <v>862</v>
      </c>
      <c r="D111" s="1" t="s">
        <v>863</v>
      </c>
      <c r="E111" s="1" t="s">
        <v>864</v>
      </c>
      <c r="F111" s="1" t="s">
        <v>865</v>
      </c>
      <c r="G111" s="1"/>
      <c r="H111" s="1" t="s">
        <v>180</v>
      </c>
      <c r="I111" s="1"/>
      <c r="J111" s="1" t="s">
        <v>653</v>
      </c>
      <c r="K111" s="1" t="s">
        <v>182</v>
      </c>
      <c r="M111">
        <v>0</v>
      </c>
    </row>
    <row r="112" spans="1:13">
      <c r="A112">
        <v>471</v>
      </c>
      <c r="B112" s="1" t="s">
        <v>866</v>
      </c>
      <c r="C112" s="1" t="s">
        <v>867</v>
      </c>
      <c r="D112" s="1" t="s">
        <v>868</v>
      </c>
      <c r="E112" s="1" t="s">
        <v>869</v>
      </c>
      <c r="F112" s="1" t="s">
        <v>870</v>
      </c>
      <c r="G112" s="1"/>
      <c r="H112" s="1" t="s">
        <v>871</v>
      </c>
      <c r="I112" s="1" t="s">
        <v>120</v>
      </c>
      <c r="J112" s="1" t="s">
        <v>872</v>
      </c>
      <c r="K112" s="1" t="s">
        <v>122</v>
      </c>
      <c r="L112">
        <v>1611</v>
      </c>
      <c r="M112">
        <v>60300</v>
      </c>
    </row>
    <row r="113" spans="1:13">
      <c r="A113">
        <v>473</v>
      </c>
      <c r="B113" s="1" t="s">
        <v>873</v>
      </c>
      <c r="C113" s="1" t="s">
        <v>874</v>
      </c>
      <c r="D113" s="1" t="s">
        <v>251</v>
      </c>
      <c r="E113" s="1" t="s">
        <v>875</v>
      </c>
      <c r="F113" s="1" t="s">
        <v>876</v>
      </c>
      <c r="G113" s="1" t="s">
        <v>877</v>
      </c>
      <c r="H113" s="1" t="s">
        <v>878</v>
      </c>
      <c r="I113" s="1"/>
      <c r="J113" s="1"/>
      <c r="K113" s="1" t="s">
        <v>463</v>
      </c>
      <c r="L113">
        <v>1401</v>
      </c>
      <c r="M113">
        <v>34800</v>
      </c>
    </row>
    <row r="114" spans="1:13">
      <c r="A114">
        <v>475</v>
      </c>
      <c r="B114" s="1" t="s">
        <v>879</v>
      </c>
      <c r="C114" s="1" t="s">
        <v>429</v>
      </c>
      <c r="D114" s="1" t="s">
        <v>581</v>
      </c>
      <c r="E114" s="1" t="s">
        <v>880</v>
      </c>
      <c r="F114" s="1" t="s">
        <v>881</v>
      </c>
      <c r="G114" s="1"/>
      <c r="H114" s="1" t="s">
        <v>882</v>
      </c>
      <c r="I114" s="1" t="s">
        <v>142</v>
      </c>
      <c r="J114" s="1" t="s">
        <v>616</v>
      </c>
      <c r="K114" s="1" t="s">
        <v>112</v>
      </c>
      <c r="L114">
        <v>1166</v>
      </c>
      <c r="M114">
        <v>55400</v>
      </c>
    </row>
    <row r="115" spans="1:13">
      <c r="A115">
        <v>477</v>
      </c>
      <c r="B115" s="1" t="s">
        <v>883</v>
      </c>
      <c r="C115" s="1" t="s">
        <v>884</v>
      </c>
      <c r="D115" s="1" t="s">
        <v>885</v>
      </c>
      <c r="E115" s="1" t="s">
        <v>886</v>
      </c>
      <c r="F115" s="1" t="s">
        <v>887</v>
      </c>
      <c r="G115" s="1"/>
      <c r="H115" s="1" t="s">
        <v>888</v>
      </c>
      <c r="I115" s="1"/>
      <c r="J115" s="1" t="s">
        <v>889</v>
      </c>
      <c r="K115" s="1" t="s">
        <v>159</v>
      </c>
      <c r="M115">
        <v>0</v>
      </c>
    </row>
    <row r="116" spans="1:13">
      <c r="A116">
        <v>480</v>
      </c>
      <c r="B116" s="1" t="s">
        <v>890</v>
      </c>
      <c r="C116" s="1" t="s">
        <v>891</v>
      </c>
      <c r="D116" s="1" t="s">
        <v>805</v>
      </c>
      <c r="E116" s="1" t="s">
        <v>892</v>
      </c>
      <c r="F116" s="1" t="s">
        <v>893</v>
      </c>
      <c r="G116" s="1"/>
      <c r="H116" s="1" t="s">
        <v>894</v>
      </c>
      <c r="I116" s="1"/>
      <c r="J116" s="1" t="s">
        <v>895</v>
      </c>
      <c r="K116" s="1" t="s">
        <v>896</v>
      </c>
      <c r="M116">
        <v>0</v>
      </c>
    </row>
    <row r="117" spans="1:13">
      <c r="A117">
        <v>481</v>
      </c>
      <c r="B117" s="1" t="s">
        <v>897</v>
      </c>
      <c r="C117" s="1" t="s">
        <v>898</v>
      </c>
      <c r="D117" s="1" t="s">
        <v>899</v>
      </c>
      <c r="E117" s="1" t="s">
        <v>900</v>
      </c>
      <c r="F117" s="1" t="s">
        <v>901</v>
      </c>
      <c r="G117" s="1"/>
      <c r="H117" s="1" t="s">
        <v>902</v>
      </c>
      <c r="I117" s="1"/>
      <c r="J117" s="1" t="s">
        <v>903</v>
      </c>
      <c r="K117" s="1" t="s">
        <v>904</v>
      </c>
      <c r="M117">
        <v>0</v>
      </c>
    </row>
    <row r="118" spans="1:13">
      <c r="A118">
        <v>484</v>
      </c>
      <c r="B118" s="1" t="s">
        <v>905</v>
      </c>
      <c r="C118" s="1" t="s">
        <v>906</v>
      </c>
      <c r="D118" s="1" t="s">
        <v>907</v>
      </c>
      <c r="E118" s="1" t="s">
        <v>908</v>
      </c>
      <c r="F118" s="1" t="s">
        <v>909</v>
      </c>
      <c r="G118" s="1"/>
      <c r="H118" s="1" t="s">
        <v>910</v>
      </c>
      <c r="I118" s="1"/>
      <c r="J118" s="1" t="s">
        <v>911</v>
      </c>
      <c r="K118" s="1" t="s">
        <v>182</v>
      </c>
      <c r="L118">
        <v>1702</v>
      </c>
      <c r="M118">
        <v>65700</v>
      </c>
    </row>
    <row r="119" spans="1:13">
      <c r="A119">
        <v>486</v>
      </c>
      <c r="B119" s="1" t="s">
        <v>912</v>
      </c>
      <c r="C119" s="1" t="s">
        <v>913</v>
      </c>
      <c r="D119" s="1" t="s">
        <v>914</v>
      </c>
      <c r="E119" s="1" t="s">
        <v>915</v>
      </c>
      <c r="F119" s="1" t="s">
        <v>916</v>
      </c>
      <c r="G119" s="1"/>
      <c r="H119" s="1" t="s">
        <v>645</v>
      </c>
      <c r="I119" s="1" t="s">
        <v>226</v>
      </c>
      <c r="J119" s="1" t="s">
        <v>646</v>
      </c>
      <c r="K119" s="1" t="s">
        <v>112</v>
      </c>
      <c r="L119">
        <v>1323</v>
      </c>
      <c r="M119">
        <v>72600</v>
      </c>
    </row>
    <row r="120" spans="1:13">
      <c r="A120">
        <v>487</v>
      </c>
      <c r="B120" s="1" t="s">
        <v>917</v>
      </c>
      <c r="C120" s="1" t="s">
        <v>333</v>
      </c>
      <c r="D120" s="1" t="s">
        <v>824</v>
      </c>
      <c r="E120" s="1" t="s">
        <v>918</v>
      </c>
      <c r="F120" s="1" t="s">
        <v>919</v>
      </c>
      <c r="G120" s="1"/>
      <c r="H120" s="1" t="s">
        <v>920</v>
      </c>
      <c r="I120" s="1" t="s">
        <v>142</v>
      </c>
      <c r="J120" s="1" t="s">
        <v>166</v>
      </c>
      <c r="K120" s="1" t="s">
        <v>112</v>
      </c>
      <c r="L120">
        <v>1165</v>
      </c>
      <c r="M120">
        <v>60300</v>
      </c>
    </row>
    <row r="121" spans="1:13">
      <c r="A121">
        <v>489</v>
      </c>
      <c r="B121" s="1" t="s">
        <v>921</v>
      </c>
      <c r="C121" s="1" t="s">
        <v>922</v>
      </c>
      <c r="D121" s="1" t="s">
        <v>923</v>
      </c>
      <c r="E121" s="1" t="s">
        <v>924</v>
      </c>
      <c r="F121" s="1" t="s">
        <v>925</v>
      </c>
      <c r="G121" s="1"/>
      <c r="H121" s="1" t="s">
        <v>608</v>
      </c>
      <c r="I121" s="1"/>
      <c r="J121" s="1" t="s">
        <v>926</v>
      </c>
      <c r="K121" s="1" t="s">
        <v>322</v>
      </c>
      <c r="L121">
        <v>1501</v>
      </c>
      <c r="M121">
        <v>43300</v>
      </c>
    </row>
    <row r="122" spans="1:13">
      <c r="A122">
        <v>495</v>
      </c>
      <c r="B122" s="1" t="s">
        <v>927</v>
      </c>
      <c r="C122" s="1" t="s">
        <v>251</v>
      </c>
      <c r="D122" s="1" t="s">
        <v>430</v>
      </c>
      <c r="E122" s="1" t="s">
        <v>928</v>
      </c>
      <c r="F122" s="1" t="s">
        <v>929</v>
      </c>
      <c r="G122" s="1"/>
      <c r="H122" s="1" t="s">
        <v>708</v>
      </c>
      <c r="I122" s="1" t="s">
        <v>287</v>
      </c>
      <c r="J122" s="1" t="s">
        <v>709</v>
      </c>
      <c r="K122" s="1" t="s">
        <v>112</v>
      </c>
      <c r="L122">
        <v>1188</v>
      </c>
      <c r="M122">
        <v>85100</v>
      </c>
    </row>
    <row r="123" spans="1:13">
      <c r="A123">
        <v>496</v>
      </c>
      <c r="B123" s="1" t="s">
        <v>930</v>
      </c>
      <c r="C123" s="1" t="s">
        <v>931</v>
      </c>
      <c r="D123" s="1" t="s">
        <v>932</v>
      </c>
      <c r="E123" s="1" t="s">
        <v>933</v>
      </c>
      <c r="F123" s="1" t="s">
        <v>934</v>
      </c>
      <c r="G123" s="1"/>
      <c r="H123" s="1" t="s">
        <v>602</v>
      </c>
      <c r="I123" s="1"/>
      <c r="J123" s="1"/>
      <c r="K123" s="1" t="s">
        <v>603</v>
      </c>
      <c r="L123">
        <v>1612</v>
      </c>
      <c r="M123">
        <v>110000</v>
      </c>
    </row>
  </sheetData>
  <mergeCells count="1">
    <mergeCell ref="P4:R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"/>
  <sheetViews>
    <sheetView workbookViewId="0">
      <selection activeCell="K22" sqref="K22"/>
    </sheetView>
  </sheetViews>
  <sheetFormatPr defaultColWidth="9" defaultRowHeight="14.4"/>
  <cols>
    <col min="1" max="1" width="18.5546875" customWidth="1"/>
    <col min="2" max="2" width="11.109375" customWidth="1"/>
    <col min="3" max="3" width="11.44140625" customWidth="1"/>
    <col min="4" max="4" width="11.33203125" customWidth="1"/>
    <col min="5" max="5" width="30.44140625" customWidth="1"/>
    <col min="6" max="6" width="12.33203125" customWidth="1"/>
    <col min="7" max="7" width="11.33203125" customWidth="1"/>
    <col min="8" max="8" width="18.88671875" customWidth="1"/>
    <col min="11" max="11" width="13.21875" customWidth="1"/>
  </cols>
  <sheetData>
    <row r="1" spans="1:16">
      <c r="A1" t="s">
        <v>935</v>
      </c>
      <c r="B1" t="s">
        <v>936</v>
      </c>
      <c r="C1" t="s">
        <v>937</v>
      </c>
      <c r="D1" t="s">
        <v>938</v>
      </c>
      <c r="E1" t="s">
        <v>939</v>
      </c>
      <c r="F1" t="s">
        <v>940</v>
      </c>
      <c r="G1" t="s">
        <v>941</v>
      </c>
      <c r="H1" t="s">
        <v>942</v>
      </c>
      <c r="K1" s="48" t="s">
        <v>943</v>
      </c>
      <c r="L1" s="48"/>
      <c r="M1" s="48"/>
      <c r="N1" s="48"/>
      <c r="O1" s="48"/>
      <c r="P1" s="48"/>
    </row>
    <row r="2" spans="1:16">
      <c r="A2">
        <v>1002</v>
      </c>
      <c r="B2" s="1" t="s">
        <v>161</v>
      </c>
      <c r="C2" s="1" t="s">
        <v>944</v>
      </c>
      <c r="D2" s="1" t="s">
        <v>945</v>
      </c>
      <c r="E2" s="1" t="s">
        <v>946</v>
      </c>
      <c r="F2" s="1" t="s">
        <v>947</v>
      </c>
      <c r="H2" s="1" t="s">
        <v>948</v>
      </c>
      <c r="K2" s="48"/>
      <c r="L2" s="48"/>
      <c r="M2" s="48"/>
      <c r="N2" s="48"/>
      <c r="O2" s="48"/>
      <c r="P2" s="48"/>
    </row>
    <row r="3" spans="1:16">
      <c r="A3">
        <v>1056</v>
      </c>
      <c r="B3" s="1" t="s">
        <v>949</v>
      </c>
      <c r="C3" s="1" t="s">
        <v>395</v>
      </c>
      <c r="D3" s="1" t="s">
        <v>950</v>
      </c>
      <c r="E3" s="1" t="s">
        <v>951</v>
      </c>
      <c r="F3" s="1" t="s">
        <v>947</v>
      </c>
      <c r="G3">
        <v>1002</v>
      </c>
      <c r="H3" s="1" t="s">
        <v>952</v>
      </c>
    </row>
    <row r="4" spans="1:16">
      <c r="A4">
        <v>1076</v>
      </c>
      <c r="B4" s="1" t="s">
        <v>953</v>
      </c>
      <c r="C4" s="1" t="s">
        <v>216</v>
      </c>
      <c r="D4" s="1" t="s">
        <v>954</v>
      </c>
      <c r="E4" s="1" t="s">
        <v>955</v>
      </c>
      <c r="F4" s="1" t="s">
        <v>947</v>
      </c>
      <c r="G4">
        <v>1002</v>
      </c>
      <c r="H4" s="1" t="s">
        <v>956</v>
      </c>
    </row>
    <row r="5" spans="1:16">
      <c r="A5">
        <v>1088</v>
      </c>
      <c r="B5" s="1" t="s">
        <v>949</v>
      </c>
      <c r="C5" s="1" t="s">
        <v>611</v>
      </c>
      <c r="D5" s="1" t="s">
        <v>957</v>
      </c>
      <c r="E5" s="1" t="s">
        <v>958</v>
      </c>
      <c r="F5" s="1" t="s">
        <v>959</v>
      </c>
      <c r="G5">
        <v>1056</v>
      </c>
      <c r="H5" s="1" t="s">
        <v>960</v>
      </c>
    </row>
    <row r="6" spans="1:16">
      <c r="A6">
        <v>1102</v>
      </c>
      <c r="B6" s="1" t="s">
        <v>961</v>
      </c>
      <c r="C6" s="1" t="s">
        <v>962</v>
      </c>
      <c r="D6" s="1" t="s">
        <v>963</v>
      </c>
      <c r="E6" s="1" t="s">
        <v>964</v>
      </c>
      <c r="F6" s="1" t="s">
        <v>965</v>
      </c>
      <c r="G6">
        <v>1056</v>
      </c>
      <c r="H6" s="1" t="s">
        <v>966</v>
      </c>
      <c r="K6" t="s">
        <v>935</v>
      </c>
    </row>
    <row r="7" spans="1:16">
      <c r="A7">
        <v>1143</v>
      </c>
      <c r="B7" s="1" t="s">
        <v>967</v>
      </c>
      <c r="C7" s="1" t="s">
        <v>968</v>
      </c>
      <c r="D7" s="1" t="s">
        <v>969</v>
      </c>
      <c r="E7" s="1" t="s">
        <v>970</v>
      </c>
      <c r="F7" s="1" t="s">
        <v>947</v>
      </c>
      <c r="G7">
        <v>1056</v>
      </c>
      <c r="H7" s="1" t="s">
        <v>971</v>
      </c>
      <c r="K7" s="25">
        <v>1612</v>
      </c>
      <c r="L7" s="42" t="s">
        <v>3739</v>
      </c>
    </row>
    <row r="8" spans="1:16">
      <c r="A8">
        <v>1165</v>
      </c>
      <c r="B8" s="1" t="s">
        <v>972</v>
      </c>
      <c r="C8" s="1" t="s">
        <v>334</v>
      </c>
      <c r="D8" s="1" t="s">
        <v>973</v>
      </c>
      <c r="E8" s="1" t="s">
        <v>974</v>
      </c>
      <c r="F8" s="1" t="s">
        <v>947</v>
      </c>
      <c r="G8">
        <v>1143</v>
      </c>
      <c r="H8" s="1" t="s">
        <v>975</v>
      </c>
      <c r="K8" t="s">
        <v>940</v>
      </c>
    </row>
    <row r="9" spans="1:16">
      <c r="A9">
        <v>1166</v>
      </c>
      <c r="B9" s="1" t="s">
        <v>429</v>
      </c>
      <c r="C9" s="1" t="s">
        <v>334</v>
      </c>
      <c r="D9" s="1" t="s">
        <v>976</v>
      </c>
      <c r="E9" s="1" t="s">
        <v>977</v>
      </c>
      <c r="F9" s="1" t="s">
        <v>947</v>
      </c>
      <c r="G9">
        <v>1143</v>
      </c>
      <c r="H9" s="1" t="s">
        <v>975</v>
      </c>
      <c r="K9" t="str" cm="1">
        <f t="array" ref="K9">_xlfn.XLOOKUP(K7,A2:A24,(_xlfn.XLOOKUP(K8,B1:H1,B2:H24)))</f>
        <v>6</v>
      </c>
    </row>
    <row r="10" spans="1:16">
      <c r="A10">
        <v>1188</v>
      </c>
      <c r="B10" s="1" t="s">
        <v>953</v>
      </c>
      <c r="C10" s="1" t="s">
        <v>162</v>
      </c>
      <c r="D10" s="1" t="s">
        <v>978</v>
      </c>
      <c r="E10" s="1" t="s">
        <v>955</v>
      </c>
      <c r="F10" s="1" t="s">
        <v>330</v>
      </c>
      <c r="G10">
        <v>1143</v>
      </c>
      <c r="H10" s="1" t="s">
        <v>975</v>
      </c>
    </row>
    <row r="11" spans="1:16">
      <c r="A11">
        <v>1216</v>
      </c>
      <c r="B11" s="1" t="s">
        <v>949</v>
      </c>
      <c r="C11" s="1" t="s">
        <v>581</v>
      </c>
      <c r="D11" s="1" t="s">
        <v>979</v>
      </c>
      <c r="E11" s="1" t="s">
        <v>980</v>
      </c>
      <c r="F11" s="1" t="s">
        <v>330</v>
      </c>
      <c r="G11">
        <v>1143</v>
      </c>
      <c r="H11" s="1" t="s">
        <v>975</v>
      </c>
    </row>
    <row r="12" spans="1:16">
      <c r="A12">
        <v>1286</v>
      </c>
      <c r="B12" s="1" t="s">
        <v>282</v>
      </c>
      <c r="C12" s="1" t="s">
        <v>981</v>
      </c>
      <c r="D12" s="1" t="s">
        <v>982</v>
      </c>
      <c r="E12" s="1" t="s">
        <v>983</v>
      </c>
      <c r="F12" s="1" t="s">
        <v>984</v>
      </c>
      <c r="G12">
        <v>1143</v>
      </c>
      <c r="H12" s="1" t="s">
        <v>975</v>
      </c>
    </row>
    <row r="13" spans="1:16">
      <c r="A13">
        <v>1323</v>
      </c>
      <c r="B13" s="1" t="s">
        <v>985</v>
      </c>
      <c r="C13" s="1" t="s">
        <v>986</v>
      </c>
      <c r="D13" s="1" t="s">
        <v>987</v>
      </c>
      <c r="E13" s="1" t="s">
        <v>988</v>
      </c>
      <c r="F13" s="1" t="s">
        <v>984</v>
      </c>
      <c r="G13">
        <v>1143</v>
      </c>
      <c r="H13" s="1" t="s">
        <v>975</v>
      </c>
    </row>
    <row r="14" spans="1:16">
      <c r="A14">
        <v>1337</v>
      </c>
      <c r="B14" s="1" t="s">
        <v>961</v>
      </c>
      <c r="C14" s="1" t="s">
        <v>989</v>
      </c>
      <c r="D14" s="1" t="s">
        <v>990</v>
      </c>
      <c r="E14" s="1" t="s">
        <v>991</v>
      </c>
      <c r="F14" s="1" t="s">
        <v>965</v>
      </c>
      <c r="G14">
        <v>1102</v>
      </c>
      <c r="H14" s="1" t="s">
        <v>975</v>
      </c>
    </row>
    <row r="15" spans="1:16">
      <c r="A15">
        <v>1370</v>
      </c>
      <c r="B15" s="1" t="s">
        <v>523</v>
      </c>
      <c r="C15" s="1" t="s">
        <v>962</v>
      </c>
      <c r="D15" s="1" t="s">
        <v>992</v>
      </c>
      <c r="E15" s="1" t="s">
        <v>993</v>
      </c>
      <c r="F15" s="1" t="s">
        <v>965</v>
      </c>
      <c r="G15">
        <v>1102</v>
      </c>
      <c r="H15" s="1" t="s">
        <v>975</v>
      </c>
    </row>
    <row r="16" spans="1:16">
      <c r="A16">
        <v>1401</v>
      </c>
      <c r="B16" s="1" t="s">
        <v>994</v>
      </c>
      <c r="C16" s="1" t="s">
        <v>995</v>
      </c>
      <c r="D16" s="1" t="s">
        <v>996</v>
      </c>
      <c r="E16" s="1" t="s">
        <v>997</v>
      </c>
      <c r="F16" s="1" t="s">
        <v>965</v>
      </c>
      <c r="G16">
        <v>1102</v>
      </c>
      <c r="H16" s="1" t="s">
        <v>975</v>
      </c>
    </row>
    <row r="17" spans="1:8">
      <c r="A17">
        <v>1501</v>
      </c>
      <c r="B17" s="1" t="s">
        <v>998</v>
      </c>
      <c r="C17" s="1" t="s">
        <v>999</v>
      </c>
      <c r="D17" s="1" t="s">
        <v>1000</v>
      </c>
      <c r="E17" s="1" t="s">
        <v>1001</v>
      </c>
      <c r="F17" s="1" t="s">
        <v>1002</v>
      </c>
      <c r="G17">
        <v>1102</v>
      </c>
      <c r="H17" s="1" t="s">
        <v>975</v>
      </c>
    </row>
    <row r="18" spans="1:8">
      <c r="A18">
        <v>1504</v>
      </c>
      <c r="B18" s="1" t="s">
        <v>1003</v>
      </c>
      <c r="C18" s="1" t="s">
        <v>1004</v>
      </c>
      <c r="D18" s="1" t="s">
        <v>1005</v>
      </c>
      <c r="E18" s="1" t="s">
        <v>1006</v>
      </c>
      <c r="F18" s="1" t="s">
        <v>1002</v>
      </c>
      <c r="G18">
        <v>1102</v>
      </c>
      <c r="H18" s="1" t="s">
        <v>975</v>
      </c>
    </row>
    <row r="19" spans="1:8">
      <c r="A19">
        <v>1611</v>
      </c>
      <c r="B19" s="1" t="s">
        <v>1007</v>
      </c>
      <c r="C19" s="1" t="s">
        <v>1008</v>
      </c>
      <c r="D19" s="1" t="s">
        <v>1009</v>
      </c>
      <c r="E19" s="1" t="s">
        <v>1010</v>
      </c>
      <c r="F19" s="1" t="s">
        <v>959</v>
      </c>
      <c r="G19">
        <v>1088</v>
      </c>
      <c r="H19" s="1" t="s">
        <v>975</v>
      </c>
    </row>
    <row r="20" spans="1:8">
      <c r="A20">
        <v>1612</v>
      </c>
      <c r="B20" s="1" t="s">
        <v>1011</v>
      </c>
      <c r="C20" s="1" t="s">
        <v>115</v>
      </c>
      <c r="D20" s="1" t="s">
        <v>1005</v>
      </c>
      <c r="E20" s="1" t="s">
        <v>1012</v>
      </c>
      <c r="F20" s="1" t="s">
        <v>959</v>
      </c>
      <c r="G20">
        <v>1088</v>
      </c>
      <c r="H20" s="1" t="s">
        <v>975</v>
      </c>
    </row>
    <row r="21" spans="1:8">
      <c r="A21">
        <v>1619</v>
      </c>
      <c r="B21" s="1" t="s">
        <v>105</v>
      </c>
      <c r="C21" s="1" t="s">
        <v>1013</v>
      </c>
      <c r="D21" s="1" t="s">
        <v>1014</v>
      </c>
      <c r="E21" s="1" t="s">
        <v>1015</v>
      </c>
      <c r="F21" s="1" t="s">
        <v>959</v>
      </c>
      <c r="G21">
        <v>1088</v>
      </c>
      <c r="H21" s="1" t="s">
        <v>975</v>
      </c>
    </row>
    <row r="22" spans="1:8">
      <c r="A22">
        <v>1621</v>
      </c>
      <c r="B22" s="1" t="s">
        <v>1016</v>
      </c>
      <c r="C22" s="1" t="s">
        <v>1017</v>
      </c>
      <c r="D22" s="1" t="s">
        <v>1009</v>
      </c>
      <c r="E22" s="1" t="s">
        <v>1018</v>
      </c>
      <c r="F22" s="1" t="s">
        <v>1019</v>
      </c>
      <c r="G22">
        <v>1056</v>
      </c>
      <c r="H22" s="1" t="s">
        <v>975</v>
      </c>
    </row>
    <row r="23" spans="1:8">
      <c r="A23">
        <v>1625</v>
      </c>
      <c r="B23" s="1" t="s">
        <v>1020</v>
      </c>
      <c r="C23" s="1" t="s">
        <v>1021</v>
      </c>
      <c r="D23" s="1" t="s">
        <v>1005</v>
      </c>
      <c r="E23" s="1" t="s">
        <v>1022</v>
      </c>
      <c r="F23" s="1" t="s">
        <v>1019</v>
      </c>
      <c r="G23">
        <v>1621</v>
      </c>
      <c r="H23" s="1" t="s">
        <v>975</v>
      </c>
    </row>
    <row r="24" spans="1:8">
      <c r="A24">
        <v>1702</v>
      </c>
      <c r="B24" s="1" t="s">
        <v>962</v>
      </c>
      <c r="C24" s="1" t="s">
        <v>1023</v>
      </c>
      <c r="D24" s="1" t="s">
        <v>1024</v>
      </c>
      <c r="E24" s="1" t="s">
        <v>1025</v>
      </c>
      <c r="F24" s="1" t="s">
        <v>965</v>
      </c>
      <c r="G24">
        <v>1102</v>
      </c>
      <c r="H24" s="1" t="s">
        <v>975</v>
      </c>
    </row>
    <row r="32" spans="1:8">
      <c r="B32" t="s">
        <v>1026</v>
      </c>
    </row>
    <row r="33" spans="4:4">
      <c r="D33" t="str">
        <f>_xlfn.XLOOKUP(K7,A2:A24,H2:H24)</f>
        <v>Sales Rep</v>
      </c>
    </row>
  </sheetData>
  <mergeCells count="1">
    <mergeCell ref="K1:P2"/>
  </mergeCells>
  <dataValidations count="3">
    <dataValidation type="list" allowBlank="1" showInputMessage="1" showErrorMessage="1" sqref="K7 K14" xr:uid="{00000000-0002-0000-0400-000000000000}">
      <formula1>$A$2:$A$24</formula1>
    </dataValidation>
    <dataValidation type="list" allowBlank="1" showInputMessage="1" showErrorMessage="1" sqref="K8" xr:uid="{00000000-0002-0000-0400-000001000000}">
      <formula1>$B$1:$H$1</formula1>
    </dataValidation>
    <dataValidation type="list" allowBlank="1" showInputMessage="1" showErrorMessage="1" sqref="K15" xr:uid="{D9DB0DF3-D49D-42F0-8BC7-5C526CE5FF67}">
      <formula1>$A$1:$H$1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workbookViewId="0">
      <selection activeCell="H13" sqref="H13"/>
    </sheetView>
  </sheetViews>
  <sheetFormatPr defaultColWidth="9" defaultRowHeight="14.4"/>
  <cols>
    <col min="1" max="1" width="11.21875" customWidth="1"/>
    <col min="9" max="9" width="8.88671875" style="21"/>
  </cols>
  <sheetData>
    <row r="1" spans="1:9">
      <c r="C1" s="49" t="s">
        <v>1027</v>
      </c>
      <c r="D1" s="49"/>
      <c r="E1" s="49"/>
      <c r="F1" s="49"/>
      <c r="G1" s="49"/>
      <c r="H1" s="49"/>
      <c r="I1" s="49"/>
    </row>
    <row r="2" spans="1:9">
      <c r="C2" s="49"/>
      <c r="D2" s="49"/>
      <c r="E2" s="49"/>
      <c r="F2" s="49"/>
      <c r="G2" s="49"/>
      <c r="H2" s="49"/>
      <c r="I2" s="49"/>
    </row>
    <row r="3" spans="1:9">
      <c r="A3" t="s">
        <v>91</v>
      </c>
    </row>
    <row r="4" spans="1:9">
      <c r="A4" s="1" t="str">
        <f>A5</f>
        <v>NV</v>
      </c>
    </row>
    <row r="5" spans="1:9">
      <c r="A5" s="1" t="s">
        <v>110</v>
      </c>
    </row>
    <row r="6" spans="1:9">
      <c r="A6" s="1" t="s">
        <v>120</v>
      </c>
    </row>
    <row r="7" spans="1:9">
      <c r="A7" s="1" t="s">
        <v>142</v>
      </c>
    </row>
    <row r="8" spans="1:9">
      <c r="A8" s="1" t="s">
        <v>142</v>
      </c>
    </row>
    <row r="9" spans="1:9">
      <c r="A9" s="1" t="s">
        <v>173</v>
      </c>
      <c r="F9" s="22">
        <v>899</v>
      </c>
    </row>
    <row r="10" spans="1:9">
      <c r="A10" s="1" t="s">
        <v>173</v>
      </c>
      <c r="F10" s="23">
        <v>402.375</v>
      </c>
    </row>
    <row r="11" spans="1:9">
      <c r="A11" s="1" t="s">
        <v>226</v>
      </c>
      <c r="F11" s="22">
        <v>400</v>
      </c>
    </row>
    <row r="12" spans="1:9">
      <c r="A12" s="1" t="s">
        <v>142</v>
      </c>
      <c r="F12" s="23">
        <v>400</v>
      </c>
    </row>
    <row r="13" spans="1:9" ht="72">
      <c r="A13" s="1" t="s">
        <v>257</v>
      </c>
      <c r="F13" s="22"/>
      <c r="H13" s="24">
        <f>AVERAGE(F9:F19)</f>
        <v>402.375</v>
      </c>
      <c r="I13" s="21" t="s">
        <v>1028</v>
      </c>
    </row>
    <row r="14" spans="1:9">
      <c r="A14" s="1" t="s">
        <v>287</v>
      </c>
      <c r="F14" s="23">
        <v>10</v>
      </c>
    </row>
    <row r="15" spans="1:9">
      <c r="A15" s="1" t="s">
        <v>257</v>
      </c>
      <c r="F15" s="22">
        <v>100</v>
      </c>
    </row>
    <row r="16" spans="1:9">
      <c r="A16" s="1" t="s">
        <v>299</v>
      </c>
      <c r="F16" s="23">
        <v>402.375</v>
      </c>
    </row>
    <row r="17" spans="1:6">
      <c r="A17" s="1" t="s">
        <v>173</v>
      </c>
      <c r="F17" s="22">
        <v>890</v>
      </c>
    </row>
    <row r="18" spans="1:6">
      <c r="A18" s="1" t="s">
        <v>287</v>
      </c>
      <c r="F18" s="23">
        <v>120</v>
      </c>
    </row>
    <row r="19" spans="1:6">
      <c r="A19" s="1" t="s">
        <v>352</v>
      </c>
      <c r="F19" s="22">
        <v>400</v>
      </c>
    </row>
    <row r="20" spans="1:6">
      <c r="A20" s="1" t="s">
        <v>287</v>
      </c>
    </row>
    <row r="21" spans="1:6">
      <c r="A21" s="1" t="s">
        <v>142</v>
      </c>
    </row>
    <row r="22" spans="1:6">
      <c r="A22" s="1" t="s">
        <v>142</v>
      </c>
    </row>
    <row r="23" spans="1:6">
      <c r="A23" s="1" t="s">
        <v>420</v>
      </c>
    </row>
    <row r="24" spans="1:6">
      <c r="A24" s="1" t="s">
        <v>142</v>
      </c>
    </row>
    <row r="25" spans="1:6">
      <c r="A25" s="1" t="s">
        <v>442</v>
      </c>
    </row>
    <row r="26" spans="1:6">
      <c r="A26" s="1" t="s">
        <v>352</v>
      </c>
    </row>
    <row r="27" spans="1:6">
      <c r="A27" s="1" t="s">
        <v>505</v>
      </c>
    </row>
    <row r="28" spans="1:6">
      <c r="A28" s="1" t="s">
        <v>505</v>
      </c>
    </row>
    <row r="29" spans="1:6">
      <c r="A29" s="1" t="s">
        <v>287</v>
      </c>
    </row>
    <row r="30" spans="1:6">
      <c r="A30" s="1" t="s">
        <v>173</v>
      </c>
    </row>
    <row r="31" spans="1:6">
      <c r="A31" s="1" t="s">
        <v>287</v>
      </c>
    </row>
    <row r="32" spans="1:6">
      <c r="A32" s="1" t="s">
        <v>142</v>
      </c>
    </row>
    <row r="33" spans="1:1">
      <c r="A33" s="1" t="s">
        <v>615</v>
      </c>
    </row>
    <row r="34" spans="1:1">
      <c r="A34" s="1" t="s">
        <v>623</v>
      </c>
    </row>
    <row r="35" spans="1:1">
      <c r="A35" s="1" t="s">
        <v>226</v>
      </c>
    </row>
    <row r="36" spans="1:1">
      <c r="A36" s="1" t="s">
        <v>142</v>
      </c>
    </row>
    <row r="37" spans="1:1">
      <c r="A37" s="1" t="s">
        <v>667</v>
      </c>
    </row>
    <row r="38" spans="1:1">
      <c r="A38" s="1" t="s">
        <v>688</v>
      </c>
    </row>
    <row r="39" spans="1:1">
      <c r="A39" s="1" t="s">
        <v>287</v>
      </c>
    </row>
    <row r="40" spans="1:1">
      <c r="A40" s="1" t="s">
        <v>715</v>
      </c>
    </row>
    <row r="41" spans="1:1">
      <c r="A41" s="1" t="s">
        <v>287</v>
      </c>
    </row>
    <row r="42" spans="1:1">
      <c r="A42" s="1" t="s">
        <v>770</v>
      </c>
    </row>
    <row r="43" spans="1:1">
      <c r="A43" s="1" t="s">
        <v>173</v>
      </c>
    </row>
    <row r="44" spans="1:1">
      <c r="A44" s="1" t="s">
        <v>257</v>
      </c>
    </row>
    <row r="45" spans="1:1">
      <c r="A45" s="1" t="s">
        <v>142</v>
      </c>
    </row>
    <row r="46" spans="1:1">
      <c r="A46" s="1" t="s">
        <v>257</v>
      </c>
    </row>
    <row r="47" spans="1:1">
      <c r="A47" s="1" t="s">
        <v>173</v>
      </c>
    </row>
    <row r="48" spans="1:1">
      <c r="A48" s="1" t="s">
        <v>287</v>
      </c>
    </row>
    <row r="49" spans="1:1">
      <c r="A49" s="1" t="s">
        <v>120</v>
      </c>
    </row>
    <row r="50" spans="1:1">
      <c r="A50" s="1" t="s">
        <v>142</v>
      </c>
    </row>
    <row r="51" spans="1:1">
      <c r="A51" s="1" t="s">
        <v>226</v>
      </c>
    </row>
    <row r="52" spans="1:1">
      <c r="A52" s="1" t="s">
        <v>142</v>
      </c>
    </row>
    <row r="53" spans="1:1">
      <c r="A53" s="1" t="s">
        <v>287</v>
      </c>
    </row>
  </sheetData>
  <mergeCells count="1">
    <mergeCell ref="C1:I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S29"/>
  <sheetViews>
    <sheetView workbookViewId="0">
      <selection activeCell="E10" sqref="E10"/>
    </sheetView>
  </sheetViews>
  <sheetFormatPr defaultColWidth="9" defaultRowHeight="14.4"/>
  <cols>
    <col min="10" max="10" width="8.88671875" style="17"/>
    <col min="12" max="12" width="10.109375" customWidth="1"/>
    <col min="19" max="19" width="11.44140625" customWidth="1"/>
  </cols>
  <sheetData>
    <row r="1" spans="3:19">
      <c r="C1" s="50" t="s">
        <v>1029</v>
      </c>
      <c r="D1" s="50"/>
      <c r="E1" s="50"/>
      <c r="F1" s="50"/>
      <c r="G1" s="50"/>
      <c r="H1" s="50"/>
      <c r="K1" s="51" t="s">
        <v>1030</v>
      </c>
      <c r="L1" s="51"/>
      <c r="M1" s="51"/>
      <c r="N1" s="51"/>
      <c r="O1" s="51"/>
    </row>
    <row r="2" spans="3:19">
      <c r="C2" s="50"/>
      <c r="D2" s="50"/>
      <c r="E2" s="50"/>
      <c r="F2" s="50"/>
      <c r="G2" s="50"/>
      <c r="H2" s="50"/>
      <c r="K2" s="51"/>
      <c r="L2" s="51"/>
      <c r="M2" s="51"/>
      <c r="N2" s="51"/>
      <c r="O2" s="51"/>
    </row>
    <row r="4" spans="3:19">
      <c r="L4" s="18">
        <v>1002</v>
      </c>
    </row>
    <row r="5" spans="3:19">
      <c r="L5" s="18">
        <v>1002</v>
      </c>
    </row>
    <row r="6" spans="3:19">
      <c r="L6" s="18">
        <v>1056</v>
      </c>
      <c r="P6" s="19">
        <v>103</v>
      </c>
    </row>
    <row r="7" spans="3:19">
      <c r="L7" s="18">
        <v>1002</v>
      </c>
      <c r="P7" s="20">
        <v>112</v>
      </c>
      <c r="S7" t="s">
        <v>1031</v>
      </c>
    </row>
    <row r="8" spans="3:19">
      <c r="L8" s="18">
        <v>1002</v>
      </c>
      <c r="P8" s="19">
        <v>114</v>
      </c>
      <c r="R8" s="19">
        <v>114</v>
      </c>
      <c r="S8" t="str">
        <f>P6&amp;R8</f>
        <v>103114</v>
      </c>
    </row>
    <row r="9" spans="3:19">
      <c r="L9" s="18">
        <v>1056</v>
      </c>
      <c r="P9" s="20">
        <v>119</v>
      </c>
      <c r="R9" s="20">
        <v>119</v>
      </c>
    </row>
    <row r="10" spans="3:19">
      <c r="C10" s="16" t="s">
        <v>97</v>
      </c>
      <c r="E10" t="str" cm="1">
        <f t="array" ref="E10:E29">TRIM(C10:C29)</f>
        <v>Schmitt</v>
      </c>
      <c r="L10" s="18">
        <v>1002</v>
      </c>
      <c r="P10" s="19">
        <v>121</v>
      </c>
      <c r="R10" s="19">
        <v>121</v>
      </c>
    </row>
    <row r="11" spans="3:19">
      <c r="C11" s="15" t="s">
        <v>1032</v>
      </c>
      <c r="E11" t="str">
        <v>King</v>
      </c>
      <c r="H11">
        <v>300</v>
      </c>
      <c r="I11" t="str" cm="1">
        <f t="array" ref="I11:I16">TRIM(H11:H16)</f>
        <v>300</v>
      </c>
      <c r="L11" s="18">
        <v>1002</v>
      </c>
      <c r="P11" s="20">
        <v>124</v>
      </c>
      <c r="R11" s="20">
        <v>124</v>
      </c>
    </row>
    <row r="12" spans="3:19">
      <c r="C12" s="16" t="s">
        <v>1033</v>
      </c>
      <c r="E12" t="str">
        <v>Ferguson</v>
      </c>
      <c r="H12">
        <v>900</v>
      </c>
      <c r="I12" t="str">
        <v>900</v>
      </c>
      <c r="L12" s="18">
        <v>1056</v>
      </c>
      <c r="P12" s="19">
        <v>125</v>
      </c>
      <c r="R12" s="19">
        <v>125</v>
      </c>
    </row>
    <row r="13" spans="3:19">
      <c r="C13" s="15" t="s">
        <v>124</v>
      </c>
      <c r="E13" t="str">
        <v>Labrune</v>
      </c>
      <c r="H13">
        <v>777</v>
      </c>
      <c r="I13" t="str">
        <v>777</v>
      </c>
      <c r="L13" s="18">
        <v>1002</v>
      </c>
      <c r="P13" s="20">
        <v>128</v>
      </c>
      <c r="R13" s="20">
        <v>128</v>
      </c>
    </row>
    <row r="14" spans="3:19">
      <c r="C14" s="16" t="s">
        <v>129</v>
      </c>
      <c r="E14" t="str">
        <v>Bergulfsen</v>
      </c>
      <c r="H14">
        <v>0</v>
      </c>
      <c r="I14" t="str">
        <v>0</v>
      </c>
      <c r="L14" s="18">
        <v>1002</v>
      </c>
      <c r="P14" s="19">
        <v>129</v>
      </c>
    </row>
    <row r="15" spans="3:19">
      <c r="C15" s="15" t="s">
        <v>1034</v>
      </c>
      <c r="E15" t="str">
        <v>Nelson</v>
      </c>
      <c r="H15">
        <v>666</v>
      </c>
      <c r="I15" t="str">
        <v>666</v>
      </c>
      <c r="L15" s="18">
        <v>1056</v>
      </c>
      <c r="P15" s="20">
        <v>131</v>
      </c>
    </row>
    <row r="16" spans="3:19">
      <c r="C16" s="16" t="s">
        <v>145</v>
      </c>
      <c r="E16" t="str">
        <v>Piestrzeniewicz</v>
      </c>
      <c r="H16">
        <v>330</v>
      </c>
      <c r="I16" t="str">
        <v>330</v>
      </c>
      <c r="L16" s="18">
        <v>1002</v>
      </c>
      <c r="P16" s="19">
        <v>141</v>
      </c>
    </row>
    <row r="17" spans="3:16">
      <c r="C17" s="15" t="s">
        <v>1035</v>
      </c>
      <c r="E17" t="str">
        <v>Keitel</v>
      </c>
      <c r="L17" s="18">
        <v>1002</v>
      </c>
      <c r="P17" s="20">
        <v>144</v>
      </c>
    </row>
    <row r="18" spans="3:16">
      <c r="C18" s="16" t="s">
        <v>161</v>
      </c>
      <c r="E18" t="str">
        <v>Murphy</v>
      </c>
    </row>
    <row r="19" spans="3:16">
      <c r="C19" s="15" t="s">
        <v>1036</v>
      </c>
      <c r="E19" t="str">
        <v>Lee</v>
      </c>
    </row>
    <row r="20" spans="3:16">
      <c r="C20" s="16" t="s">
        <v>176</v>
      </c>
      <c r="E20" t="str">
        <v>Freyre</v>
      </c>
    </row>
    <row r="21" spans="3:16">
      <c r="C21" s="15" t="s">
        <v>184</v>
      </c>
      <c r="E21" t="str">
        <v>Berglund</v>
      </c>
    </row>
    <row r="22" spans="3:16">
      <c r="C22" s="16" t="s">
        <v>192</v>
      </c>
      <c r="E22" t="str">
        <v>Petersen</v>
      </c>
    </row>
    <row r="23" spans="3:16">
      <c r="C23" s="15" t="s">
        <v>1037</v>
      </c>
      <c r="E23" t="str">
        <v>Saveley</v>
      </c>
    </row>
    <row r="24" spans="3:16">
      <c r="C24" s="16" t="s">
        <v>207</v>
      </c>
      <c r="E24" t="str">
        <v>Natividad</v>
      </c>
    </row>
    <row r="25" spans="3:16">
      <c r="C25" s="15" t="s">
        <v>215</v>
      </c>
      <c r="E25" t="str">
        <v>Young</v>
      </c>
    </row>
    <row r="26" spans="3:16">
      <c r="C26" s="16" t="s">
        <v>221</v>
      </c>
      <c r="E26" t="str">
        <v>Leong</v>
      </c>
    </row>
    <row r="27" spans="3:16">
      <c r="C27" s="15" t="s">
        <v>229</v>
      </c>
      <c r="E27" t="str">
        <v>Hashimoto</v>
      </c>
    </row>
    <row r="28" spans="3:16">
      <c r="C28" s="16" t="s">
        <v>235</v>
      </c>
      <c r="E28" t="str">
        <v>Victorino</v>
      </c>
    </row>
    <row r="29" spans="3:16">
      <c r="C29" s="15" t="s">
        <v>1038</v>
      </c>
      <c r="E29" t="str">
        <v>Oeztan</v>
      </c>
    </row>
  </sheetData>
  <mergeCells count="2">
    <mergeCell ref="C1:H2"/>
    <mergeCell ref="K1:O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4"/>
  <sheetViews>
    <sheetView topLeftCell="B1" workbookViewId="0">
      <selection activeCell="D25" sqref="D25"/>
    </sheetView>
  </sheetViews>
  <sheetFormatPr defaultColWidth="9" defaultRowHeight="14.4"/>
  <cols>
    <col min="2" max="2" width="13.44140625" customWidth="1"/>
    <col min="4" max="4" width="25" customWidth="1"/>
    <col min="5" max="5" width="24.77734375" customWidth="1"/>
    <col min="6" max="6" width="28.33203125" customWidth="1"/>
    <col min="9" max="9" width="14.88671875" customWidth="1"/>
    <col min="10" max="10" width="25" customWidth="1"/>
    <col min="15" max="15" width="11" customWidth="1"/>
  </cols>
  <sheetData>
    <row r="1" spans="1:15">
      <c r="C1" s="48" t="s">
        <v>1039</v>
      </c>
      <c r="D1" s="48"/>
      <c r="E1" s="48"/>
      <c r="F1" s="48"/>
    </row>
    <row r="2" spans="1:15">
      <c r="C2" s="48"/>
      <c r="D2" s="48"/>
      <c r="E2" s="48"/>
      <c r="F2" s="48"/>
    </row>
    <row r="3" spans="1:15">
      <c r="A3" t="s">
        <v>1040</v>
      </c>
      <c r="B3" t="s">
        <v>1041</v>
      </c>
      <c r="C3" t="s">
        <v>1042</v>
      </c>
      <c r="D3" t="s">
        <v>1043</v>
      </c>
      <c r="E3" t="s">
        <v>1044</v>
      </c>
      <c r="F3" t="s">
        <v>1045</v>
      </c>
      <c r="G3" t="s">
        <v>1046</v>
      </c>
      <c r="H3" t="s">
        <v>1047</v>
      </c>
      <c r="I3" t="s">
        <v>1048</v>
      </c>
      <c r="J3" t="s">
        <v>1049</v>
      </c>
      <c r="K3" t="s">
        <v>1050</v>
      </c>
      <c r="L3" t="s">
        <v>1051</v>
      </c>
      <c r="M3" t="s">
        <v>1052</v>
      </c>
      <c r="N3" t="s">
        <v>1053</v>
      </c>
      <c r="O3" t="s">
        <v>1054</v>
      </c>
    </row>
    <row r="4" spans="1:15">
      <c r="A4" t="s">
        <v>1055</v>
      </c>
      <c r="B4" s="15" t="s">
        <v>105</v>
      </c>
      <c r="C4" s="15" t="s">
        <v>106</v>
      </c>
      <c r="D4" t="str">
        <f t="shared" ref="D4:D24" si="0">CONCATENATE(A4,B4," ",C4)</f>
        <v>Mr.King Jean</v>
      </c>
      <c r="E4" t="str">
        <f>LOWER(D4)</f>
        <v>mr.king jean</v>
      </c>
      <c r="F4" t="str">
        <f>UPPER((D4))</f>
        <v>MR.KING JEAN</v>
      </c>
      <c r="G4" t="str">
        <f>RIGHT(C4)</f>
        <v>n</v>
      </c>
      <c r="H4" t="str">
        <f t="shared" ref="H4:H24" si="1">LEFT(C4)</f>
        <v>J</v>
      </c>
      <c r="I4" t="str">
        <f>MID(D4,1,10)</f>
        <v>Mr.King Je</v>
      </c>
      <c r="J4" t="str">
        <f>PROPER(D4)</f>
        <v>Mr.King Jean</v>
      </c>
      <c r="K4">
        <f>LEN(D4)</f>
        <v>12</v>
      </c>
      <c r="L4">
        <f>FIND("M",J4)</f>
        <v>1</v>
      </c>
      <c r="M4">
        <f>SEARCH("e",J4)</f>
        <v>10</v>
      </c>
      <c r="N4" t="str">
        <f>REPLACE(C4,2,1,"J")</f>
        <v>JJan</v>
      </c>
      <c r="O4" t="str">
        <f>SUBSTITUTE(J4,"King","Raja")</f>
        <v>Mr.Raja Jean</v>
      </c>
    </row>
    <row r="5" spans="1:15">
      <c r="A5" t="s">
        <v>1056</v>
      </c>
      <c r="B5" s="16" t="s">
        <v>114</v>
      </c>
      <c r="C5" s="16" t="s">
        <v>115</v>
      </c>
      <c r="D5" t="str">
        <f t="shared" si="0"/>
        <v>Miss.Ferguson Peter</v>
      </c>
      <c r="E5" t="str">
        <f t="shared" ref="E5:E24" si="2">LOWER(D5)</f>
        <v>miss.ferguson peter</v>
      </c>
      <c r="F5" t="str">
        <f t="shared" ref="F5:F24" si="3">UPPER((D5))</f>
        <v>MISS.FERGUSON PETER</v>
      </c>
      <c r="G5" t="str">
        <f t="shared" ref="G5:G23" si="4">RIGHT(C5)</f>
        <v>r</v>
      </c>
      <c r="H5" t="str">
        <f t="shared" si="1"/>
        <v>P</v>
      </c>
      <c r="I5" t="str">
        <f t="shared" ref="I5:I24" si="5">MID(D5,1,10)</f>
        <v>Miss.Fergu</v>
      </c>
      <c r="J5" t="str">
        <f t="shared" ref="J5:J24" si="6">PROPER(D5)</f>
        <v>Miss.Ferguson Peter</v>
      </c>
      <c r="K5">
        <f t="shared" ref="K5:K24" si="7">LEN(D5)</f>
        <v>19</v>
      </c>
      <c r="L5">
        <f t="shared" ref="L5:L24" si="8">FIND("M",J5)</f>
        <v>1</v>
      </c>
      <c r="M5">
        <f t="shared" ref="M5:M24" si="9">SEARCH("e",J5)</f>
        <v>7</v>
      </c>
      <c r="N5" t="str">
        <f t="shared" ref="N5:N24" si="10">REPLACE(C5,2,1,"J")</f>
        <v>PJter</v>
      </c>
      <c r="O5" t="str">
        <f t="shared" ref="O5:O24" si="11">SUBSTITUTE(J5,"King","Raja")</f>
        <v>Miss.Ferguson Peter</v>
      </c>
    </row>
    <row r="6" spans="1:15">
      <c r="A6" t="s">
        <v>1055</v>
      </c>
      <c r="B6" s="15" t="s">
        <v>124</v>
      </c>
      <c r="C6" s="15" t="s">
        <v>1057</v>
      </c>
      <c r="D6" t="str">
        <f t="shared" si="0"/>
        <v>Mr.Labrune Janine</v>
      </c>
      <c r="E6" t="str">
        <f t="shared" si="2"/>
        <v>mr.labrune janine</v>
      </c>
      <c r="F6" t="str">
        <f t="shared" si="3"/>
        <v>MR.LABRUNE JANINE</v>
      </c>
      <c r="G6" t="str">
        <f t="shared" si="4"/>
        <v>e</v>
      </c>
      <c r="H6" t="str">
        <f t="shared" si="1"/>
        <v>J</v>
      </c>
      <c r="I6" t="str">
        <f t="shared" si="5"/>
        <v>Mr.Labrune</v>
      </c>
      <c r="J6" t="str">
        <f t="shared" si="6"/>
        <v>Mr.Labrune Janine</v>
      </c>
      <c r="K6">
        <f t="shared" si="7"/>
        <v>17</v>
      </c>
      <c r="L6">
        <f t="shared" si="8"/>
        <v>1</v>
      </c>
      <c r="M6">
        <f t="shared" si="9"/>
        <v>10</v>
      </c>
      <c r="N6" t="str">
        <f t="shared" si="10"/>
        <v>JJnine</v>
      </c>
      <c r="O6" t="str">
        <f t="shared" si="11"/>
        <v>Mr.Labrune Janine</v>
      </c>
    </row>
    <row r="7" spans="1:15">
      <c r="A7" t="s">
        <v>1056</v>
      </c>
      <c r="B7" s="16" t="s">
        <v>129</v>
      </c>
      <c r="C7" s="16" t="s">
        <v>130</v>
      </c>
      <c r="D7" t="str">
        <f t="shared" si="0"/>
        <v>Miss.Bergulfsen Jonas</v>
      </c>
      <c r="E7" t="str">
        <f t="shared" si="2"/>
        <v>miss.bergulfsen jonas</v>
      </c>
      <c r="F7" t="str">
        <f t="shared" si="3"/>
        <v>MISS.BERGULFSEN JONAS</v>
      </c>
      <c r="G7" t="str">
        <f t="shared" si="4"/>
        <v/>
      </c>
      <c r="H7" t="str">
        <f t="shared" si="1"/>
        <v>J</v>
      </c>
      <c r="I7" t="str">
        <f t="shared" si="5"/>
        <v>Miss.Bergu</v>
      </c>
      <c r="J7" t="str">
        <f t="shared" si="6"/>
        <v>Miss.Bergulfsen Jonas</v>
      </c>
      <c r="K7">
        <f t="shared" si="7"/>
        <v>22</v>
      </c>
      <c r="L7">
        <f t="shared" si="8"/>
        <v>1</v>
      </c>
      <c r="M7">
        <f t="shared" si="9"/>
        <v>7</v>
      </c>
      <c r="N7" t="str">
        <f t="shared" si="10"/>
        <v>JJnas</v>
      </c>
      <c r="O7" t="str">
        <f t="shared" si="11"/>
        <v>Miss.Bergulfsen Jonas</v>
      </c>
    </row>
    <row r="8" spans="1:15">
      <c r="A8" t="s">
        <v>1055</v>
      </c>
      <c r="B8" s="15" t="s">
        <v>137</v>
      </c>
      <c r="C8" s="15" t="s">
        <v>138</v>
      </c>
      <c r="D8" t="str">
        <f t="shared" si="0"/>
        <v>Mr.Nelson Susan</v>
      </c>
      <c r="E8" t="str">
        <f t="shared" si="2"/>
        <v>mr.nelson susan</v>
      </c>
      <c r="F8" t="str">
        <f t="shared" si="3"/>
        <v>MR.NELSON SUSAN</v>
      </c>
      <c r="G8" t="str">
        <f t="shared" si="4"/>
        <v>n</v>
      </c>
      <c r="H8" t="str">
        <f t="shared" si="1"/>
        <v>S</v>
      </c>
      <c r="I8" t="str">
        <f t="shared" si="5"/>
        <v>Mr.Nelson</v>
      </c>
      <c r="J8" t="str">
        <f t="shared" si="6"/>
        <v>Mr.Nelson Susan</v>
      </c>
      <c r="K8">
        <f t="shared" si="7"/>
        <v>15</v>
      </c>
      <c r="L8">
        <f t="shared" si="8"/>
        <v>1</v>
      </c>
      <c r="M8">
        <f t="shared" si="9"/>
        <v>5</v>
      </c>
      <c r="N8" t="str">
        <f t="shared" si="10"/>
        <v>SJsan</v>
      </c>
      <c r="O8" t="str">
        <f t="shared" si="11"/>
        <v>Mr.Nelson Susan</v>
      </c>
    </row>
    <row r="9" spans="1:15">
      <c r="A9" t="s">
        <v>1056</v>
      </c>
      <c r="B9" s="16" t="s">
        <v>145</v>
      </c>
      <c r="C9" s="16" t="s">
        <v>146</v>
      </c>
      <c r="D9" t="str">
        <f t="shared" si="0"/>
        <v>Miss.Piestrzeniewicz Zbyszek</v>
      </c>
      <c r="E9" t="str">
        <f t="shared" si="2"/>
        <v>miss.piestrzeniewicz zbyszek</v>
      </c>
      <c r="F9" t="str">
        <f t="shared" si="3"/>
        <v>MISS.PIESTRZENIEWICZ ZBYSZEK</v>
      </c>
      <c r="G9" t="str">
        <f t="shared" si="4"/>
        <v/>
      </c>
      <c r="H9" t="str">
        <f t="shared" si="1"/>
        <v>Z</v>
      </c>
      <c r="I9" t="str">
        <f t="shared" si="5"/>
        <v>Miss.Piest</v>
      </c>
      <c r="J9" t="str">
        <f t="shared" si="6"/>
        <v>Miss.Piestrzeniewicz Zbyszek</v>
      </c>
      <c r="K9">
        <f t="shared" si="7"/>
        <v>29</v>
      </c>
      <c r="L9">
        <f t="shared" si="8"/>
        <v>1</v>
      </c>
      <c r="M9">
        <f t="shared" si="9"/>
        <v>8</v>
      </c>
      <c r="N9" t="str">
        <f t="shared" si="10"/>
        <v>ZJyszek</v>
      </c>
      <c r="O9" t="str">
        <f t="shared" si="11"/>
        <v>Miss.Piestrzeniewicz Zbyszek</v>
      </c>
    </row>
    <row r="10" spans="1:15">
      <c r="A10" t="s">
        <v>1055</v>
      </c>
      <c r="B10" s="15" t="s">
        <v>153</v>
      </c>
      <c r="C10" s="15" t="s">
        <v>154</v>
      </c>
      <c r="D10" t="str">
        <f t="shared" si="0"/>
        <v>Mr.Keitel Roland</v>
      </c>
      <c r="E10" t="str">
        <f t="shared" si="2"/>
        <v>mr.keitel roland</v>
      </c>
      <c r="F10" t="str">
        <f t="shared" si="3"/>
        <v>MR.KEITEL ROLAND</v>
      </c>
      <c r="G10" t="str">
        <f t="shared" si="4"/>
        <v>d</v>
      </c>
      <c r="H10" t="str">
        <f t="shared" si="1"/>
        <v>R</v>
      </c>
      <c r="I10" t="str">
        <f t="shared" si="5"/>
        <v>Mr.Keitel</v>
      </c>
      <c r="J10" t="str">
        <f t="shared" si="6"/>
        <v>Mr.Keitel Roland</v>
      </c>
      <c r="K10">
        <f t="shared" si="7"/>
        <v>16</v>
      </c>
      <c r="L10">
        <f t="shared" si="8"/>
        <v>1</v>
      </c>
      <c r="M10">
        <f t="shared" si="9"/>
        <v>5</v>
      </c>
      <c r="N10" t="str">
        <f t="shared" si="10"/>
        <v>RJland</v>
      </c>
      <c r="O10" t="str">
        <f t="shared" si="11"/>
        <v>Mr.Keitel Roland</v>
      </c>
    </row>
    <row r="11" spans="1:15">
      <c r="A11" t="s">
        <v>1056</v>
      </c>
      <c r="B11" s="16" t="s">
        <v>161</v>
      </c>
      <c r="C11" s="16" t="s">
        <v>162</v>
      </c>
      <c r="D11" t="str">
        <f t="shared" si="0"/>
        <v>Miss.Murphy Julie</v>
      </c>
      <c r="E11" t="str">
        <f t="shared" si="2"/>
        <v>miss.murphy julie</v>
      </c>
      <c r="F11" t="str">
        <f t="shared" si="3"/>
        <v>MISS.MURPHY JULIE</v>
      </c>
      <c r="G11" t="str">
        <f t="shared" si="4"/>
        <v>e</v>
      </c>
      <c r="H11" t="str">
        <f t="shared" si="1"/>
        <v>J</v>
      </c>
      <c r="I11" t="str">
        <f t="shared" si="5"/>
        <v>Miss.Murph</v>
      </c>
      <c r="J11" t="str">
        <f t="shared" si="6"/>
        <v>Miss.Murphy Julie</v>
      </c>
      <c r="K11">
        <f t="shared" si="7"/>
        <v>17</v>
      </c>
      <c r="L11">
        <f t="shared" si="8"/>
        <v>1</v>
      </c>
      <c r="M11">
        <f t="shared" si="9"/>
        <v>17</v>
      </c>
      <c r="N11" t="str">
        <f t="shared" si="10"/>
        <v>JJlie</v>
      </c>
      <c r="O11" t="str">
        <f t="shared" si="11"/>
        <v>Miss.Murphy Julie</v>
      </c>
    </row>
    <row r="12" spans="1:15">
      <c r="A12" t="s">
        <v>1055</v>
      </c>
      <c r="B12" s="15" t="s">
        <v>168</v>
      </c>
      <c r="C12" s="15" t="s">
        <v>169</v>
      </c>
      <c r="D12" t="str">
        <f t="shared" si="0"/>
        <v>Mr.Lee Kwai</v>
      </c>
      <c r="E12" t="str">
        <f t="shared" si="2"/>
        <v>mr.lee kwai</v>
      </c>
      <c r="F12" t="str">
        <f t="shared" si="3"/>
        <v>MR.LEE KWAI</v>
      </c>
      <c r="G12" t="str">
        <f t="shared" si="4"/>
        <v>i</v>
      </c>
      <c r="H12" t="str">
        <f t="shared" si="1"/>
        <v>K</v>
      </c>
      <c r="I12" t="str">
        <f t="shared" si="5"/>
        <v>Mr.Lee Kwa</v>
      </c>
      <c r="J12" t="str">
        <f t="shared" si="6"/>
        <v>Mr.Lee Kwai</v>
      </c>
      <c r="K12">
        <f t="shared" si="7"/>
        <v>11</v>
      </c>
      <c r="L12">
        <f t="shared" si="8"/>
        <v>1</v>
      </c>
      <c r="M12">
        <f t="shared" si="9"/>
        <v>5</v>
      </c>
      <c r="N12" t="str">
        <f t="shared" si="10"/>
        <v>KJai</v>
      </c>
      <c r="O12" t="str">
        <f t="shared" si="11"/>
        <v>Mr.Lee Kwai</v>
      </c>
    </row>
    <row r="13" spans="1:15">
      <c r="A13" t="s">
        <v>1056</v>
      </c>
      <c r="B13" s="16" t="s">
        <v>176</v>
      </c>
      <c r="C13" s="16" t="s">
        <v>1058</v>
      </c>
      <c r="D13" t="str">
        <f t="shared" si="0"/>
        <v>Miss.Freyre Diego</v>
      </c>
      <c r="E13" t="str">
        <f t="shared" si="2"/>
        <v>miss.freyre diego</v>
      </c>
      <c r="F13" t="str">
        <f t="shared" si="3"/>
        <v>MISS.FREYRE DIEGO</v>
      </c>
      <c r="G13" t="str">
        <f t="shared" si="4"/>
        <v>o</v>
      </c>
      <c r="H13" t="str">
        <f t="shared" si="1"/>
        <v>D</v>
      </c>
      <c r="I13" t="str">
        <f t="shared" si="5"/>
        <v>Miss.Freyr</v>
      </c>
      <c r="J13" t="str">
        <f t="shared" si="6"/>
        <v>Miss.Freyre Diego</v>
      </c>
      <c r="K13">
        <f t="shared" si="7"/>
        <v>17</v>
      </c>
      <c r="L13">
        <f t="shared" si="8"/>
        <v>1</v>
      </c>
      <c r="M13">
        <f t="shared" si="9"/>
        <v>8</v>
      </c>
      <c r="N13" t="str">
        <f t="shared" si="10"/>
        <v>DJego</v>
      </c>
      <c r="O13" t="str">
        <f t="shared" si="11"/>
        <v>Miss.Freyre Diego</v>
      </c>
    </row>
    <row r="14" spans="1:15">
      <c r="A14" t="s">
        <v>1055</v>
      </c>
      <c r="B14" s="15" t="s">
        <v>184</v>
      </c>
      <c r="C14" s="15" t="s">
        <v>185</v>
      </c>
      <c r="D14" t="str">
        <f t="shared" si="0"/>
        <v>Mr.Berglund Christina</v>
      </c>
      <c r="E14" t="str">
        <f t="shared" si="2"/>
        <v>mr.berglund christina</v>
      </c>
      <c r="F14" t="str">
        <f t="shared" si="3"/>
        <v>MR.BERGLUND CHRISTINA</v>
      </c>
      <c r="G14" t="str">
        <f t="shared" si="4"/>
        <v/>
      </c>
      <c r="H14" t="str">
        <f t="shared" si="1"/>
        <v>C</v>
      </c>
      <c r="I14" t="str">
        <f t="shared" si="5"/>
        <v>Mr.Berglun</v>
      </c>
      <c r="J14" t="str">
        <f t="shared" si="6"/>
        <v>Mr.Berglund Christina</v>
      </c>
      <c r="K14">
        <f t="shared" si="7"/>
        <v>22</v>
      </c>
      <c r="L14">
        <f t="shared" si="8"/>
        <v>1</v>
      </c>
      <c r="M14">
        <f t="shared" si="9"/>
        <v>5</v>
      </c>
      <c r="N14" t="str">
        <f t="shared" si="10"/>
        <v>CJristina</v>
      </c>
      <c r="O14" t="str">
        <f t="shared" si="11"/>
        <v>Mr.Berglund Christina</v>
      </c>
    </row>
    <row r="15" spans="1:15">
      <c r="A15" t="s">
        <v>1056</v>
      </c>
      <c r="B15" s="16" t="s">
        <v>192</v>
      </c>
      <c r="C15" s="16" t="s">
        <v>1059</v>
      </c>
      <c r="D15" t="str">
        <f t="shared" si="0"/>
        <v>Miss.Petersen Jytte</v>
      </c>
      <c r="E15" t="str">
        <f t="shared" si="2"/>
        <v>miss.petersen jytte</v>
      </c>
      <c r="F15" t="str">
        <f t="shared" si="3"/>
        <v>MISS.PETERSEN JYTTE</v>
      </c>
      <c r="G15" t="str">
        <f t="shared" si="4"/>
        <v>e</v>
      </c>
      <c r="H15" t="str">
        <f t="shared" si="1"/>
        <v>J</v>
      </c>
      <c r="I15" t="str">
        <f t="shared" si="5"/>
        <v>Miss.Peter</v>
      </c>
      <c r="J15" t="str">
        <f t="shared" si="6"/>
        <v>Miss.Petersen Jytte</v>
      </c>
      <c r="K15">
        <f t="shared" si="7"/>
        <v>19</v>
      </c>
      <c r="L15">
        <f t="shared" si="8"/>
        <v>1</v>
      </c>
      <c r="M15">
        <f t="shared" si="9"/>
        <v>7</v>
      </c>
      <c r="N15" t="str">
        <f t="shared" si="10"/>
        <v>JJtte</v>
      </c>
      <c r="O15" t="str">
        <f t="shared" si="11"/>
        <v>Miss.Petersen Jytte</v>
      </c>
    </row>
    <row r="16" spans="1:15">
      <c r="A16" t="s">
        <v>1055</v>
      </c>
      <c r="B16" s="15" t="s">
        <v>200</v>
      </c>
      <c r="C16" s="15" t="s">
        <v>395</v>
      </c>
      <c r="D16" t="str">
        <f t="shared" si="0"/>
        <v>Mr.Saveley Mary</v>
      </c>
      <c r="E16" t="str">
        <f t="shared" si="2"/>
        <v>mr.saveley mary</v>
      </c>
      <c r="F16" t="str">
        <f t="shared" si="3"/>
        <v>MR.SAVELEY MARY</v>
      </c>
      <c r="G16" t="str">
        <f t="shared" si="4"/>
        <v>y</v>
      </c>
      <c r="H16" t="str">
        <f t="shared" si="1"/>
        <v>M</v>
      </c>
      <c r="I16" t="str">
        <f t="shared" si="5"/>
        <v>Mr.Saveley</v>
      </c>
      <c r="J16" t="str">
        <f t="shared" si="6"/>
        <v>Mr.Saveley Mary</v>
      </c>
      <c r="K16">
        <f t="shared" si="7"/>
        <v>15</v>
      </c>
      <c r="L16">
        <f t="shared" si="8"/>
        <v>1</v>
      </c>
      <c r="M16">
        <f t="shared" si="9"/>
        <v>7</v>
      </c>
      <c r="N16" t="str">
        <f t="shared" si="10"/>
        <v>MJry</v>
      </c>
      <c r="O16" t="str">
        <f t="shared" si="11"/>
        <v>Mr.Saveley Mary</v>
      </c>
    </row>
    <row r="17" spans="1:15">
      <c r="A17" t="s">
        <v>1056</v>
      </c>
      <c r="B17" s="16" t="s">
        <v>207</v>
      </c>
      <c r="C17" s="16" t="s">
        <v>208</v>
      </c>
      <c r="D17" t="str">
        <f t="shared" si="0"/>
        <v>Miss.Natividad Eric</v>
      </c>
      <c r="E17" t="str">
        <f t="shared" si="2"/>
        <v>miss.natividad eric</v>
      </c>
      <c r="F17" t="str">
        <f t="shared" si="3"/>
        <v>MISS.NATIVIDAD ERIC</v>
      </c>
      <c r="G17" t="str">
        <f t="shared" si="4"/>
        <v>c</v>
      </c>
      <c r="H17" t="str">
        <f t="shared" si="1"/>
        <v>E</v>
      </c>
      <c r="I17" t="str">
        <f t="shared" si="5"/>
        <v>Miss.Nativ</v>
      </c>
      <c r="J17" t="str">
        <f t="shared" si="6"/>
        <v>Miss.Natividad Eric</v>
      </c>
      <c r="K17">
        <f t="shared" si="7"/>
        <v>19</v>
      </c>
      <c r="L17">
        <f t="shared" si="8"/>
        <v>1</v>
      </c>
      <c r="M17">
        <f t="shared" si="9"/>
        <v>16</v>
      </c>
      <c r="N17" t="str">
        <f t="shared" si="10"/>
        <v>EJic</v>
      </c>
      <c r="O17" t="str">
        <f t="shared" si="11"/>
        <v>Miss.Natividad Eric</v>
      </c>
    </row>
    <row r="18" spans="1:15">
      <c r="A18" t="s">
        <v>1055</v>
      </c>
      <c r="B18" s="15" t="s">
        <v>215</v>
      </c>
      <c r="C18" s="15" t="s">
        <v>216</v>
      </c>
      <c r="D18" t="str">
        <f t="shared" si="0"/>
        <v>Mr.Young Jeff</v>
      </c>
      <c r="E18" t="str">
        <f t="shared" si="2"/>
        <v>mr.young jeff</v>
      </c>
      <c r="F18" t="str">
        <f t="shared" si="3"/>
        <v>MR.YOUNG JEFF</v>
      </c>
      <c r="G18" t="str">
        <f t="shared" si="4"/>
        <v>f</v>
      </c>
      <c r="H18" t="str">
        <f t="shared" si="1"/>
        <v>J</v>
      </c>
      <c r="I18" t="str">
        <f t="shared" si="5"/>
        <v>Mr.Young J</v>
      </c>
      <c r="J18" t="str">
        <f t="shared" si="6"/>
        <v>Mr.Young Jeff</v>
      </c>
      <c r="K18">
        <f t="shared" si="7"/>
        <v>13</v>
      </c>
      <c r="L18">
        <f t="shared" si="8"/>
        <v>1</v>
      </c>
      <c r="M18">
        <f t="shared" si="9"/>
        <v>11</v>
      </c>
      <c r="N18" t="str">
        <f t="shared" si="10"/>
        <v>JJff</v>
      </c>
      <c r="O18" t="str">
        <f t="shared" si="11"/>
        <v>Mr.Young Jeff</v>
      </c>
    </row>
    <row r="19" spans="1:15">
      <c r="A19" t="s">
        <v>1056</v>
      </c>
      <c r="B19" s="16" t="s">
        <v>221</v>
      </c>
      <c r="C19" s="16" t="s">
        <v>222</v>
      </c>
      <c r="D19" t="str">
        <f t="shared" si="0"/>
        <v>Miss.Leong Kelvin</v>
      </c>
      <c r="E19" t="str">
        <f t="shared" si="2"/>
        <v>miss.leong kelvin</v>
      </c>
      <c r="F19" t="str">
        <f t="shared" si="3"/>
        <v>MISS.LEONG KELVIN</v>
      </c>
      <c r="G19" t="str">
        <f t="shared" si="4"/>
        <v>n</v>
      </c>
      <c r="H19" t="str">
        <f t="shared" si="1"/>
        <v>K</v>
      </c>
      <c r="I19" t="str">
        <f t="shared" si="5"/>
        <v>Miss.Leong</v>
      </c>
      <c r="J19" t="str">
        <f t="shared" si="6"/>
        <v>Miss.Leong Kelvin</v>
      </c>
      <c r="K19">
        <f t="shared" si="7"/>
        <v>17</v>
      </c>
      <c r="L19">
        <f t="shared" si="8"/>
        <v>1</v>
      </c>
      <c r="M19">
        <f t="shared" si="9"/>
        <v>7</v>
      </c>
      <c r="N19" t="str">
        <f t="shared" si="10"/>
        <v>KJlvin</v>
      </c>
      <c r="O19" t="str">
        <f t="shared" si="11"/>
        <v>Miss.Leong Kelvin</v>
      </c>
    </row>
    <row r="20" spans="1:15">
      <c r="A20" t="s">
        <v>1055</v>
      </c>
      <c r="B20" s="15" t="s">
        <v>229</v>
      </c>
      <c r="C20" s="15" t="s">
        <v>1060</v>
      </c>
      <c r="D20" t="str">
        <f t="shared" si="0"/>
        <v>Mr.Hashimoto Jurie</v>
      </c>
      <c r="E20" t="str">
        <f t="shared" si="2"/>
        <v>mr.hashimoto jurie</v>
      </c>
      <c r="F20" t="str">
        <f t="shared" si="3"/>
        <v>MR.HASHIMOTO JURIE</v>
      </c>
      <c r="G20" t="str">
        <f t="shared" si="4"/>
        <v>e</v>
      </c>
      <c r="H20" t="str">
        <f t="shared" si="1"/>
        <v>J</v>
      </c>
      <c r="I20" t="str">
        <f t="shared" si="5"/>
        <v>Mr.Hashimo</v>
      </c>
      <c r="J20" t="str">
        <f t="shared" si="6"/>
        <v>Mr.Hashimoto Jurie</v>
      </c>
      <c r="K20">
        <f t="shared" si="7"/>
        <v>18</v>
      </c>
      <c r="L20">
        <f t="shared" si="8"/>
        <v>1</v>
      </c>
      <c r="M20">
        <f t="shared" si="9"/>
        <v>18</v>
      </c>
      <c r="N20" t="str">
        <f t="shared" si="10"/>
        <v>JJrie</v>
      </c>
      <c r="O20" t="str">
        <f t="shared" si="11"/>
        <v>Mr.Hashimoto Jurie</v>
      </c>
    </row>
    <row r="21" spans="1:15">
      <c r="A21" t="s">
        <v>1056</v>
      </c>
      <c r="B21" s="16" t="s">
        <v>235</v>
      </c>
      <c r="C21" s="16" t="s">
        <v>236</v>
      </c>
      <c r="D21" t="str">
        <f t="shared" si="0"/>
        <v>Miss.Victorino Wendy</v>
      </c>
      <c r="E21" t="str">
        <f t="shared" si="2"/>
        <v>miss.victorino wendy</v>
      </c>
      <c r="F21" t="str">
        <f t="shared" si="3"/>
        <v>MISS.VICTORINO WENDY</v>
      </c>
      <c r="G21" t="str">
        <f t="shared" si="4"/>
        <v>y</v>
      </c>
      <c r="H21" t="str">
        <f t="shared" si="1"/>
        <v>W</v>
      </c>
      <c r="I21" t="str">
        <f t="shared" si="5"/>
        <v>Miss.Victo</v>
      </c>
      <c r="J21" t="str">
        <f t="shared" si="6"/>
        <v>Miss.Victorino Wendy</v>
      </c>
      <c r="K21">
        <f t="shared" si="7"/>
        <v>20</v>
      </c>
      <c r="L21">
        <f t="shared" si="8"/>
        <v>1</v>
      </c>
      <c r="M21">
        <f t="shared" si="9"/>
        <v>17</v>
      </c>
      <c r="N21" t="str">
        <f t="shared" si="10"/>
        <v>WJndy</v>
      </c>
      <c r="O21" t="str">
        <f t="shared" si="11"/>
        <v>Miss.Victorino Wendy</v>
      </c>
    </row>
    <row r="22" spans="1:15">
      <c r="A22" t="s">
        <v>1055</v>
      </c>
      <c r="B22" s="15" t="s">
        <v>242</v>
      </c>
      <c r="C22" s="15" t="s">
        <v>243</v>
      </c>
      <c r="D22" t="str">
        <f t="shared" si="0"/>
        <v>Mr.Oeztan Veysel</v>
      </c>
      <c r="E22" t="str">
        <f t="shared" si="2"/>
        <v>mr.oeztan veysel</v>
      </c>
      <c r="F22" t="str">
        <f t="shared" si="3"/>
        <v>MR.OEZTAN VEYSEL</v>
      </c>
      <c r="G22" t="str">
        <f t="shared" si="4"/>
        <v>l</v>
      </c>
      <c r="H22" t="str">
        <f t="shared" si="1"/>
        <v>V</v>
      </c>
      <c r="I22" t="str">
        <f t="shared" si="5"/>
        <v>Mr.Oeztan</v>
      </c>
      <c r="J22" t="str">
        <f t="shared" si="6"/>
        <v>Mr.Oeztan Veysel</v>
      </c>
      <c r="K22">
        <f t="shared" si="7"/>
        <v>16</v>
      </c>
      <c r="L22">
        <f t="shared" si="8"/>
        <v>1</v>
      </c>
      <c r="M22">
        <f t="shared" si="9"/>
        <v>5</v>
      </c>
      <c r="N22" t="str">
        <f t="shared" si="10"/>
        <v>VJysel</v>
      </c>
      <c r="O22" t="str">
        <f t="shared" si="11"/>
        <v>Mr.Oeztan Veysel</v>
      </c>
    </row>
    <row r="23" spans="1:15">
      <c r="A23" t="s">
        <v>1056</v>
      </c>
      <c r="B23" s="16" t="s">
        <v>251</v>
      </c>
      <c r="C23" s="16" t="s">
        <v>252</v>
      </c>
      <c r="D23" t="str">
        <f t="shared" si="0"/>
        <v>Miss.Franco Keith</v>
      </c>
      <c r="E23" t="str">
        <f t="shared" si="2"/>
        <v>miss.franco keith</v>
      </c>
      <c r="F23" t="str">
        <f t="shared" si="3"/>
        <v>MISS.FRANCO KEITH</v>
      </c>
      <c r="G23" t="str">
        <f t="shared" si="4"/>
        <v>h</v>
      </c>
      <c r="H23" t="str">
        <f t="shared" si="1"/>
        <v>K</v>
      </c>
      <c r="I23" t="str">
        <f t="shared" si="5"/>
        <v>Miss.Franc</v>
      </c>
      <c r="J23" t="str">
        <f t="shared" si="6"/>
        <v>Miss.Franco Keith</v>
      </c>
      <c r="K23">
        <f t="shared" si="7"/>
        <v>17</v>
      </c>
      <c r="L23">
        <f t="shared" si="8"/>
        <v>1</v>
      </c>
      <c r="M23">
        <f t="shared" si="9"/>
        <v>14</v>
      </c>
      <c r="N23" t="str">
        <f t="shared" si="10"/>
        <v>KJith</v>
      </c>
      <c r="O23" t="str">
        <f t="shared" si="11"/>
        <v>Miss.Franco Keith</v>
      </c>
    </row>
    <row r="24" spans="1:15">
      <c r="A24" t="s">
        <v>1055</v>
      </c>
      <c r="B24" s="15" t="s">
        <v>260</v>
      </c>
      <c r="C24" s="15" t="s">
        <v>1061</v>
      </c>
      <c r="D24" t="str">
        <f t="shared" si="0"/>
        <v>Mr.de Castro Isabel</v>
      </c>
      <c r="E24" t="str">
        <f t="shared" si="2"/>
        <v>mr.de castro isabel</v>
      </c>
      <c r="F24" t="str">
        <f t="shared" si="3"/>
        <v>MR.DE CASTRO ISABEL</v>
      </c>
      <c r="G24" t="str">
        <f t="shared" ref="G24" si="12">RIGHT(C24)</f>
        <v>l</v>
      </c>
      <c r="H24" t="str">
        <f t="shared" si="1"/>
        <v>I</v>
      </c>
      <c r="I24" t="str">
        <f t="shared" si="5"/>
        <v>Mr.de Cast</v>
      </c>
      <c r="J24" t="str">
        <f t="shared" si="6"/>
        <v>Mr.De Castro Isabel</v>
      </c>
      <c r="K24">
        <f t="shared" si="7"/>
        <v>19</v>
      </c>
      <c r="L24">
        <f t="shared" si="8"/>
        <v>1</v>
      </c>
      <c r="M24">
        <f t="shared" si="9"/>
        <v>5</v>
      </c>
      <c r="N24" t="str">
        <f t="shared" si="10"/>
        <v>IJabel</v>
      </c>
      <c r="O24" t="str">
        <f t="shared" si="11"/>
        <v>Mr.De Castro Isabel</v>
      </c>
    </row>
  </sheetData>
  <mergeCells count="1">
    <mergeCell ref="C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0"/>
  <sheetViews>
    <sheetView topLeftCell="D1" workbookViewId="0">
      <selection activeCell="Q4" sqref="Q4"/>
    </sheetView>
  </sheetViews>
  <sheetFormatPr defaultColWidth="9" defaultRowHeight="14.4"/>
  <cols>
    <col min="2" max="2" width="16.21875" customWidth="1"/>
    <col min="3" max="3" width="20.5546875" customWidth="1"/>
    <col min="4" max="4" width="15.6640625" customWidth="1"/>
    <col min="5" max="5" width="21.88671875" customWidth="1"/>
    <col min="9" max="9" width="10.5546875" customWidth="1"/>
    <col min="12" max="12" width="11.88671875" customWidth="1"/>
    <col min="13" max="13" width="12.44140625" customWidth="1"/>
    <col min="14" max="14" width="9.6640625" customWidth="1"/>
  </cols>
  <sheetData>
    <row r="1" spans="1:20">
      <c r="C1" s="52" t="s">
        <v>1062</v>
      </c>
      <c r="D1" s="52"/>
      <c r="E1" s="52"/>
      <c r="F1" s="52"/>
    </row>
    <row r="2" spans="1:20">
      <c r="C2" s="52"/>
      <c r="D2" s="52"/>
      <c r="E2" s="52"/>
      <c r="F2" s="52"/>
    </row>
    <row r="3" spans="1:20">
      <c r="A3" s="8" t="s">
        <v>1063</v>
      </c>
      <c r="B3" s="8" t="s">
        <v>28</v>
      </c>
      <c r="C3" s="8" t="s">
        <v>1064</v>
      </c>
      <c r="D3" s="8" t="s">
        <v>1065</v>
      </c>
      <c r="E3" s="8" t="s">
        <v>1066</v>
      </c>
      <c r="F3" s="8" t="s">
        <v>1067</v>
      </c>
      <c r="G3" s="8" t="s">
        <v>1068</v>
      </c>
      <c r="H3" s="8" t="s">
        <v>1069</v>
      </c>
      <c r="I3" s="8" t="s">
        <v>1070</v>
      </c>
      <c r="J3" s="8" t="s">
        <v>1071</v>
      </c>
      <c r="K3" s="8" t="s">
        <v>1072</v>
      </c>
      <c r="L3" s="8" t="s">
        <v>1073</v>
      </c>
      <c r="M3" s="8" t="s">
        <v>29</v>
      </c>
      <c r="N3" s="9" t="s">
        <v>1074</v>
      </c>
      <c r="O3" s="9" t="s">
        <v>1075</v>
      </c>
      <c r="P3" s="10" t="s">
        <v>1076</v>
      </c>
      <c r="Q3" s="10" t="s">
        <v>1077</v>
      </c>
      <c r="R3" s="10"/>
      <c r="S3" s="10"/>
      <c r="T3" s="14"/>
    </row>
    <row r="4" spans="1:20">
      <c r="A4" s="8" t="s">
        <v>1078</v>
      </c>
      <c r="B4" s="8" t="s">
        <v>1079</v>
      </c>
      <c r="C4" s="8" t="s">
        <v>1080</v>
      </c>
      <c r="D4" s="8" t="s">
        <v>1081</v>
      </c>
      <c r="E4" s="8" t="s">
        <v>1082</v>
      </c>
      <c r="F4" s="8" t="s">
        <v>1083</v>
      </c>
      <c r="G4" s="8" t="s">
        <v>1084</v>
      </c>
      <c r="H4" s="8">
        <v>47</v>
      </c>
      <c r="I4" s="11">
        <v>44683</v>
      </c>
      <c r="J4" s="12">
        <v>92368</v>
      </c>
      <c r="K4" s="13">
        <v>0</v>
      </c>
      <c r="L4" s="8" t="s">
        <v>1085</v>
      </c>
      <c r="M4" s="8" t="s">
        <v>1086</v>
      </c>
      <c r="N4" t="b">
        <f>H4&gt;50</f>
        <v>0</v>
      </c>
      <c r="O4" t="str">
        <f>IF(H4&gt;=50,"Bonus","no bonus")</f>
        <v>no bonus</v>
      </c>
      <c r="P4" t="str">
        <f>IF(AND(D4="IT",L4="United States"),"Included","Excluded")</f>
        <v>Excluded</v>
      </c>
      <c r="Q4" t="str">
        <f>IF(OR(F4="FEMALE",L4="China"),"Included","Excluded")</f>
        <v>Excluded</v>
      </c>
    </row>
    <row r="5" spans="1:20">
      <c r="A5" s="8" t="s">
        <v>1087</v>
      </c>
      <c r="B5" s="8" t="s">
        <v>1088</v>
      </c>
      <c r="C5" s="8" t="s">
        <v>1089</v>
      </c>
      <c r="D5" s="8" t="s">
        <v>1090</v>
      </c>
      <c r="E5" s="8" t="s">
        <v>1091</v>
      </c>
      <c r="F5" s="8" t="s">
        <v>1083</v>
      </c>
      <c r="G5" s="8" t="s">
        <v>1084</v>
      </c>
      <c r="H5" s="8">
        <v>58</v>
      </c>
      <c r="I5" s="8" t="s">
        <v>1092</v>
      </c>
      <c r="J5" s="12">
        <v>45703</v>
      </c>
      <c r="K5" s="13">
        <v>0</v>
      </c>
      <c r="L5" s="8" t="s">
        <v>1085</v>
      </c>
      <c r="M5" s="8" t="s">
        <v>1093</v>
      </c>
      <c r="N5" t="b">
        <f t="shared" ref="N5:N40" si="0">H5&gt;50</f>
        <v>1</v>
      </c>
      <c r="O5" t="str">
        <f t="shared" ref="O5:O40" si="1">IF(H5&gt;=50,"Bonus","no bonus")</f>
        <v>Bonus</v>
      </c>
      <c r="P5" t="str">
        <f t="shared" ref="P5:P40" si="2">IF(AND(D5="IT",L5="United States"),"Included","Excluded")</f>
        <v>Excluded</v>
      </c>
      <c r="Q5" t="str">
        <f t="shared" ref="Q5:Q40" si="3">IF(OR(F5="FEMALE",L5="China"),"Included","Excluded")</f>
        <v>Excluded</v>
      </c>
    </row>
    <row r="6" spans="1:20">
      <c r="A6" s="8" t="s">
        <v>1094</v>
      </c>
      <c r="B6" s="8" t="s">
        <v>1095</v>
      </c>
      <c r="C6" s="8" t="s">
        <v>1096</v>
      </c>
      <c r="D6" s="8" t="s">
        <v>1097</v>
      </c>
      <c r="E6" s="8" t="s">
        <v>1098</v>
      </c>
      <c r="F6" s="8" t="s">
        <v>1083</v>
      </c>
      <c r="G6" s="8" t="s">
        <v>1084</v>
      </c>
      <c r="H6" s="8">
        <v>34</v>
      </c>
      <c r="I6" s="8" t="s">
        <v>1099</v>
      </c>
      <c r="J6" s="12">
        <v>83576</v>
      </c>
      <c r="K6" s="13">
        <v>0</v>
      </c>
      <c r="L6" s="8" t="s">
        <v>1100</v>
      </c>
      <c r="M6" s="8" t="s">
        <v>1101</v>
      </c>
      <c r="N6" t="b">
        <f t="shared" si="0"/>
        <v>0</v>
      </c>
      <c r="O6" t="str">
        <f t="shared" si="1"/>
        <v>no bonus</v>
      </c>
      <c r="P6" t="str">
        <f t="shared" si="2"/>
        <v>Excluded</v>
      </c>
      <c r="Q6" t="str">
        <f t="shared" si="3"/>
        <v>Included</v>
      </c>
    </row>
    <row r="7" spans="1:20">
      <c r="A7" s="8" t="s">
        <v>1102</v>
      </c>
      <c r="B7" s="8" t="s">
        <v>1103</v>
      </c>
      <c r="C7" s="8" t="s">
        <v>1104</v>
      </c>
      <c r="D7" s="8" t="s">
        <v>1097</v>
      </c>
      <c r="E7" s="8" t="s">
        <v>1091</v>
      </c>
      <c r="F7" s="8" t="s">
        <v>1105</v>
      </c>
      <c r="G7" s="8" t="s">
        <v>1106</v>
      </c>
      <c r="H7" s="8">
        <v>39</v>
      </c>
      <c r="I7" s="11">
        <v>43285</v>
      </c>
      <c r="J7" s="12">
        <v>98062</v>
      </c>
      <c r="K7" s="13">
        <v>0</v>
      </c>
      <c r="L7" s="8" t="s">
        <v>1085</v>
      </c>
      <c r="M7" s="8" t="s">
        <v>1107</v>
      </c>
      <c r="N7" t="b">
        <f t="shared" si="0"/>
        <v>0</v>
      </c>
      <c r="O7" t="str">
        <f t="shared" si="1"/>
        <v>no bonus</v>
      </c>
      <c r="P7" t="str">
        <f t="shared" si="2"/>
        <v>Included</v>
      </c>
      <c r="Q7" t="str">
        <f t="shared" si="3"/>
        <v>Included</v>
      </c>
    </row>
    <row r="8" spans="1:20">
      <c r="A8" s="8" t="s">
        <v>1108</v>
      </c>
      <c r="B8" s="8" t="s">
        <v>1109</v>
      </c>
      <c r="C8" s="8" t="s">
        <v>1110</v>
      </c>
      <c r="D8" s="8" t="s">
        <v>1081</v>
      </c>
      <c r="E8" s="8" t="s">
        <v>1091</v>
      </c>
      <c r="F8" s="8" t="s">
        <v>1105</v>
      </c>
      <c r="G8" s="8" t="s">
        <v>1106</v>
      </c>
      <c r="H8" s="8">
        <v>42</v>
      </c>
      <c r="I8" s="8" t="s">
        <v>1111</v>
      </c>
      <c r="J8" s="12">
        <v>175391</v>
      </c>
      <c r="K8" s="13">
        <v>0.24</v>
      </c>
      <c r="L8" s="8" t="s">
        <v>1085</v>
      </c>
      <c r="M8" s="8" t="s">
        <v>1112</v>
      </c>
      <c r="N8" t="b">
        <f t="shared" si="0"/>
        <v>0</v>
      </c>
      <c r="O8" t="str">
        <f t="shared" si="1"/>
        <v>no bonus</v>
      </c>
      <c r="P8" t="str">
        <f t="shared" si="2"/>
        <v>Excluded</v>
      </c>
      <c r="Q8" t="str">
        <f t="shared" si="3"/>
        <v>Included</v>
      </c>
    </row>
    <row r="9" spans="1:20">
      <c r="A9" s="8" t="s">
        <v>1113</v>
      </c>
      <c r="B9" s="8" t="s">
        <v>1114</v>
      </c>
      <c r="C9" s="8" t="s">
        <v>1096</v>
      </c>
      <c r="D9" s="8" t="s">
        <v>1097</v>
      </c>
      <c r="E9" s="8" t="s">
        <v>1082</v>
      </c>
      <c r="F9" s="8" t="s">
        <v>1083</v>
      </c>
      <c r="G9" s="8" t="s">
        <v>1084</v>
      </c>
      <c r="H9" s="8">
        <v>62</v>
      </c>
      <c r="I9" s="8" t="s">
        <v>1115</v>
      </c>
      <c r="J9" s="12">
        <v>66227</v>
      </c>
      <c r="K9" s="13">
        <v>0</v>
      </c>
      <c r="L9" s="8" t="s">
        <v>1085</v>
      </c>
      <c r="M9" s="8" t="s">
        <v>1116</v>
      </c>
      <c r="N9" t="b">
        <f t="shared" si="0"/>
        <v>1</v>
      </c>
      <c r="O9" t="str">
        <f t="shared" si="1"/>
        <v>Bonus</v>
      </c>
      <c r="P9" t="str">
        <f t="shared" si="2"/>
        <v>Included</v>
      </c>
      <c r="Q9" t="str">
        <f t="shared" si="3"/>
        <v>Excluded</v>
      </c>
    </row>
    <row r="10" spans="1:20">
      <c r="A10" s="8" t="s">
        <v>1117</v>
      </c>
      <c r="B10" s="8" t="s">
        <v>1118</v>
      </c>
      <c r="C10" s="8" t="s">
        <v>1119</v>
      </c>
      <c r="D10" s="8" t="s">
        <v>1120</v>
      </c>
      <c r="E10" s="8" t="s">
        <v>1121</v>
      </c>
      <c r="F10" s="8" t="s">
        <v>1105</v>
      </c>
      <c r="G10" s="8" t="s">
        <v>1084</v>
      </c>
      <c r="H10" s="8">
        <v>58</v>
      </c>
      <c r="I10" s="8" t="s">
        <v>1122</v>
      </c>
      <c r="J10" s="12">
        <v>89744</v>
      </c>
      <c r="K10" s="13">
        <v>0</v>
      </c>
      <c r="L10" s="8" t="s">
        <v>1100</v>
      </c>
      <c r="M10" s="8" t="s">
        <v>1123</v>
      </c>
      <c r="N10" t="b">
        <f t="shared" si="0"/>
        <v>1</v>
      </c>
      <c r="O10" t="str">
        <f t="shared" si="1"/>
        <v>Bonus</v>
      </c>
      <c r="P10" t="str">
        <f t="shared" si="2"/>
        <v>Excluded</v>
      </c>
      <c r="Q10" t="str">
        <f t="shared" si="3"/>
        <v>Included</v>
      </c>
    </row>
    <row r="11" spans="1:20">
      <c r="A11" s="8" t="s">
        <v>1124</v>
      </c>
      <c r="B11" s="8" t="s">
        <v>1125</v>
      </c>
      <c r="C11" s="8" t="s">
        <v>1126</v>
      </c>
      <c r="D11" s="8" t="s">
        <v>1127</v>
      </c>
      <c r="E11" s="8" t="s">
        <v>1091</v>
      </c>
      <c r="F11" s="8" t="s">
        <v>1083</v>
      </c>
      <c r="G11" s="8" t="s">
        <v>1084</v>
      </c>
      <c r="H11" s="8">
        <v>62</v>
      </c>
      <c r="I11" s="8" t="s">
        <v>1128</v>
      </c>
      <c r="J11" s="12">
        <v>69674</v>
      </c>
      <c r="K11" s="13">
        <v>0</v>
      </c>
      <c r="L11" s="8" t="s">
        <v>1100</v>
      </c>
      <c r="M11" s="8" t="s">
        <v>1129</v>
      </c>
      <c r="N11" t="b">
        <f t="shared" si="0"/>
        <v>1</v>
      </c>
      <c r="O11" t="str">
        <f t="shared" si="1"/>
        <v>Bonus</v>
      </c>
      <c r="P11" t="str">
        <f t="shared" si="2"/>
        <v>Excluded</v>
      </c>
      <c r="Q11" t="str">
        <f t="shared" si="3"/>
        <v>Included</v>
      </c>
    </row>
    <row r="12" spans="1:20">
      <c r="A12" s="8" t="s">
        <v>1130</v>
      </c>
      <c r="B12" s="8" t="s">
        <v>1131</v>
      </c>
      <c r="C12" s="8" t="s">
        <v>1132</v>
      </c>
      <c r="D12" s="8" t="s">
        <v>1097</v>
      </c>
      <c r="E12" s="8" t="s">
        <v>1082</v>
      </c>
      <c r="F12" s="8" t="s">
        <v>1105</v>
      </c>
      <c r="G12" s="8" t="s">
        <v>1133</v>
      </c>
      <c r="H12" s="8">
        <v>38</v>
      </c>
      <c r="I12" s="11">
        <v>40795</v>
      </c>
      <c r="J12" s="12">
        <v>97630</v>
      </c>
      <c r="K12" s="13">
        <v>0</v>
      </c>
      <c r="L12" s="8" t="s">
        <v>1085</v>
      </c>
      <c r="M12" s="8" t="s">
        <v>1107</v>
      </c>
      <c r="N12" t="b">
        <f t="shared" si="0"/>
        <v>0</v>
      </c>
      <c r="O12" t="str">
        <f t="shared" si="1"/>
        <v>no bonus</v>
      </c>
      <c r="P12" t="str">
        <f t="shared" si="2"/>
        <v>Included</v>
      </c>
      <c r="Q12" t="str">
        <f t="shared" si="3"/>
        <v>Included</v>
      </c>
    </row>
    <row r="13" spans="1:20">
      <c r="A13" s="8" t="s">
        <v>1134</v>
      </c>
      <c r="B13" s="8" t="s">
        <v>1135</v>
      </c>
      <c r="C13" s="8" t="s">
        <v>1136</v>
      </c>
      <c r="D13" s="8" t="s">
        <v>1127</v>
      </c>
      <c r="E13" s="8" t="s">
        <v>1121</v>
      </c>
      <c r="F13" s="8" t="s">
        <v>1083</v>
      </c>
      <c r="G13" s="8" t="s">
        <v>1133</v>
      </c>
      <c r="H13" s="8">
        <v>52</v>
      </c>
      <c r="I13" s="11">
        <v>42126</v>
      </c>
      <c r="J13" s="12">
        <v>105879</v>
      </c>
      <c r="K13" s="13">
        <v>0.1</v>
      </c>
      <c r="L13" s="8" t="s">
        <v>1085</v>
      </c>
      <c r="M13" s="8" t="s">
        <v>1137</v>
      </c>
      <c r="N13" t="b">
        <f t="shared" si="0"/>
        <v>1</v>
      </c>
      <c r="O13" t="str">
        <f t="shared" si="1"/>
        <v>Bonus</v>
      </c>
      <c r="P13" t="str">
        <f t="shared" si="2"/>
        <v>Excluded</v>
      </c>
      <c r="Q13" t="str">
        <f t="shared" si="3"/>
        <v>Excluded</v>
      </c>
    </row>
    <row r="14" spans="1:20">
      <c r="A14" s="8" t="s">
        <v>1138</v>
      </c>
      <c r="B14" s="8" t="s">
        <v>1139</v>
      </c>
      <c r="C14" s="8" t="s">
        <v>1140</v>
      </c>
      <c r="D14" s="8" t="s">
        <v>1097</v>
      </c>
      <c r="E14" s="8" t="s">
        <v>1082</v>
      </c>
      <c r="F14" s="8" t="s">
        <v>1083</v>
      </c>
      <c r="G14" s="8" t="s">
        <v>1106</v>
      </c>
      <c r="H14" s="8">
        <v>49</v>
      </c>
      <c r="I14" s="11">
        <v>37965</v>
      </c>
      <c r="J14" s="12">
        <v>40499</v>
      </c>
      <c r="K14" s="13">
        <v>0</v>
      </c>
      <c r="L14" s="8" t="s">
        <v>1085</v>
      </c>
      <c r="M14" s="8" t="s">
        <v>1137</v>
      </c>
      <c r="N14" t="b">
        <f t="shared" si="0"/>
        <v>0</v>
      </c>
      <c r="O14" t="str">
        <f t="shared" si="1"/>
        <v>no bonus</v>
      </c>
      <c r="P14" t="str">
        <f t="shared" si="2"/>
        <v>Included</v>
      </c>
      <c r="Q14" t="str">
        <f t="shared" si="3"/>
        <v>Excluded</v>
      </c>
    </row>
    <row r="15" spans="1:20">
      <c r="A15" s="8" t="s">
        <v>1141</v>
      </c>
      <c r="B15" s="8" t="s">
        <v>1142</v>
      </c>
      <c r="C15" s="8" t="s">
        <v>1119</v>
      </c>
      <c r="D15" s="8" t="s">
        <v>1127</v>
      </c>
      <c r="E15" s="8" t="s">
        <v>1121</v>
      </c>
      <c r="F15" s="8" t="s">
        <v>1105</v>
      </c>
      <c r="G15" s="8" t="s">
        <v>1084</v>
      </c>
      <c r="H15" s="8">
        <v>63</v>
      </c>
      <c r="I15" s="11">
        <v>41706</v>
      </c>
      <c r="J15" s="12">
        <v>71418</v>
      </c>
      <c r="K15" s="13">
        <v>0</v>
      </c>
      <c r="L15" s="8" t="s">
        <v>1085</v>
      </c>
      <c r="M15" s="8" t="s">
        <v>1116</v>
      </c>
      <c r="N15" t="b">
        <f t="shared" si="0"/>
        <v>1</v>
      </c>
      <c r="O15" t="str">
        <f t="shared" si="1"/>
        <v>Bonus</v>
      </c>
      <c r="P15" t="str">
        <f t="shared" si="2"/>
        <v>Excluded</v>
      </c>
      <c r="Q15" t="str">
        <f t="shared" si="3"/>
        <v>Included</v>
      </c>
    </row>
    <row r="16" spans="1:20">
      <c r="A16" s="8" t="s">
        <v>1143</v>
      </c>
      <c r="B16" s="8" t="s">
        <v>1144</v>
      </c>
      <c r="C16" s="8" t="s">
        <v>1110</v>
      </c>
      <c r="D16" s="8" t="s">
        <v>1097</v>
      </c>
      <c r="E16" s="8" t="s">
        <v>1082</v>
      </c>
      <c r="F16" s="8" t="s">
        <v>1083</v>
      </c>
      <c r="G16" s="8" t="s">
        <v>1084</v>
      </c>
      <c r="H16" s="8">
        <v>45</v>
      </c>
      <c r="I16" s="8" t="s">
        <v>1145</v>
      </c>
      <c r="J16" s="12">
        <v>150558</v>
      </c>
      <c r="K16" s="13">
        <v>0.23</v>
      </c>
      <c r="L16" s="8" t="s">
        <v>1100</v>
      </c>
      <c r="M16" s="8" t="s">
        <v>1123</v>
      </c>
      <c r="N16" t="b">
        <f t="shared" si="0"/>
        <v>0</v>
      </c>
      <c r="O16" t="str">
        <f t="shared" si="1"/>
        <v>no bonus</v>
      </c>
      <c r="P16" t="str">
        <f t="shared" si="2"/>
        <v>Excluded</v>
      </c>
      <c r="Q16" t="str">
        <f t="shared" si="3"/>
        <v>Included</v>
      </c>
    </row>
    <row r="17" spans="1:17">
      <c r="A17" s="8" t="s">
        <v>1146</v>
      </c>
      <c r="B17" s="8" t="s">
        <v>1147</v>
      </c>
      <c r="C17" s="8" t="s">
        <v>1136</v>
      </c>
      <c r="D17" s="8" t="s">
        <v>1148</v>
      </c>
      <c r="E17" s="8" t="s">
        <v>1091</v>
      </c>
      <c r="F17" s="8" t="s">
        <v>1083</v>
      </c>
      <c r="G17" s="8" t="s">
        <v>1133</v>
      </c>
      <c r="H17" s="8">
        <v>36</v>
      </c>
      <c r="I17" s="8" t="s">
        <v>1149</v>
      </c>
      <c r="J17" s="12">
        <v>118912</v>
      </c>
      <c r="K17" s="13">
        <v>0.08</v>
      </c>
      <c r="L17" s="8" t="s">
        <v>1085</v>
      </c>
      <c r="M17" s="8" t="s">
        <v>1137</v>
      </c>
      <c r="N17" t="b">
        <f t="shared" si="0"/>
        <v>0</v>
      </c>
      <c r="O17" t="str">
        <f t="shared" si="1"/>
        <v>no bonus</v>
      </c>
      <c r="P17" t="str">
        <f t="shared" si="2"/>
        <v>Excluded</v>
      </c>
      <c r="Q17" t="str">
        <f t="shared" si="3"/>
        <v>Excluded</v>
      </c>
    </row>
    <row r="18" spans="1:17">
      <c r="A18" s="8" t="s">
        <v>1150</v>
      </c>
      <c r="B18" s="8" t="s">
        <v>1151</v>
      </c>
      <c r="C18" s="8" t="s">
        <v>1152</v>
      </c>
      <c r="D18" s="8" t="s">
        <v>1148</v>
      </c>
      <c r="E18" s="8" t="s">
        <v>1091</v>
      </c>
      <c r="F18" s="8" t="s">
        <v>1083</v>
      </c>
      <c r="G18" s="8" t="s">
        <v>1153</v>
      </c>
      <c r="H18" s="8">
        <v>42</v>
      </c>
      <c r="I18" s="8" t="s">
        <v>1154</v>
      </c>
      <c r="J18" s="12">
        <v>131422</v>
      </c>
      <c r="K18" s="13">
        <v>0.15</v>
      </c>
      <c r="L18" s="8" t="s">
        <v>1085</v>
      </c>
      <c r="M18" s="8" t="s">
        <v>1116</v>
      </c>
      <c r="N18" t="b">
        <f t="shared" si="0"/>
        <v>0</v>
      </c>
      <c r="O18" t="str">
        <f t="shared" si="1"/>
        <v>no bonus</v>
      </c>
      <c r="P18" t="str">
        <f t="shared" si="2"/>
        <v>Excluded</v>
      </c>
      <c r="Q18" t="str">
        <f t="shared" si="3"/>
        <v>Excluded</v>
      </c>
    </row>
    <row r="19" spans="1:17">
      <c r="A19" s="8" t="s">
        <v>1155</v>
      </c>
      <c r="B19" s="8" t="s">
        <v>1156</v>
      </c>
      <c r="C19" s="8" t="s">
        <v>1104</v>
      </c>
      <c r="D19" s="8" t="s">
        <v>1097</v>
      </c>
      <c r="E19" s="8" t="s">
        <v>1091</v>
      </c>
      <c r="F19" s="8" t="s">
        <v>1105</v>
      </c>
      <c r="G19" s="8" t="s">
        <v>1084</v>
      </c>
      <c r="H19" s="8">
        <v>62</v>
      </c>
      <c r="I19" s="8" t="s">
        <v>1157</v>
      </c>
      <c r="J19" s="12">
        <v>64208</v>
      </c>
      <c r="K19" s="13">
        <v>0</v>
      </c>
      <c r="L19" s="8" t="s">
        <v>1085</v>
      </c>
      <c r="M19" s="8" t="s">
        <v>1137</v>
      </c>
      <c r="N19" t="b">
        <f t="shared" si="0"/>
        <v>1</v>
      </c>
      <c r="O19" t="str">
        <f t="shared" si="1"/>
        <v>Bonus</v>
      </c>
      <c r="P19" t="str">
        <f t="shared" si="2"/>
        <v>Included</v>
      </c>
      <c r="Q19" t="str">
        <f t="shared" si="3"/>
        <v>Included</v>
      </c>
    </row>
    <row r="20" spans="1:17">
      <c r="A20" s="8" t="s">
        <v>1158</v>
      </c>
      <c r="B20" s="8" t="s">
        <v>1159</v>
      </c>
      <c r="C20" s="8" t="s">
        <v>1160</v>
      </c>
      <c r="D20" s="8" t="s">
        <v>1081</v>
      </c>
      <c r="E20" s="8" t="s">
        <v>1121</v>
      </c>
      <c r="F20" s="8" t="s">
        <v>1105</v>
      </c>
      <c r="G20" s="8" t="s">
        <v>1084</v>
      </c>
      <c r="H20" s="8">
        <v>45</v>
      </c>
      <c r="I20" s="11">
        <v>40306</v>
      </c>
      <c r="J20" s="12">
        <v>254486</v>
      </c>
      <c r="K20" s="13">
        <v>0.33</v>
      </c>
      <c r="L20" s="8" t="s">
        <v>1100</v>
      </c>
      <c r="M20" s="8" t="s">
        <v>1129</v>
      </c>
      <c r="N20" t="b">
        <f t="shared" si="0"/>
        <v>0</v>
      </c>
      <c r="O20" t="str">
        <f t="shared" si="1"/>
        <v>no bonus</v>
      </c>
      <c r="P20" t="str">
        <f t="shared" si="2"/>
        <v>Excluded</v>
      </c>
      <c r="Q20" t="str">
        <f t="shared" si="3"/>
        <v>Included</v>
      </c>
    </row>
    <row r="21" spans="1:17">
      <c r="A21" s="8" t="s">
        <v>1161</v>
      </c>
      <c r="B21" s="8" t="s">
        <v>1162</v>
      </c>
      <c r="C21" s="8" t="s">
        <v>1089</v>
      </c>
      <c r="D21" s="8" t="s">
        <v>1090</v>
      </c>
      <c r="E21" s="8" t="s">
        <v>1121</v>
      </c>
      <c r="F21" s="8" t="s">
        <v>1105</v>
      </c>
      <c r="G21" s="8" t="s">
        <v>1084</v>
      </c>
      <c r="H21" s="8">
        <v>61</v>
      </c>
      <c r="I21" s="11">
        <v>43527</v>
      </c>
      <c r="J21" s="12">
        <v>54811</v>
      </c>
      <c r="K21" s="13">
        <v>0</v>
      </c>
      <c r="L21" s="8" t="s">
        <v>1100</v>
      </c>
      <c r="M21" s="8" t="s">
        <v>1123</v>
      </c>
      <c r="N21" t="b">
        <f t="shared" si="0"/>
        <v>1</v>
      </c>
      <c r="O21" t="str">
        <f t="shared" si="1"/>
        <v>Bonus</v>
      </c>
      <c r="P21" t="str">
        <f t="shared" si="2"/>
        <v>Excluded</v>
      </c>
      <c r="Q21" t="str">
        <f t="shared" si="3"/>
        <v>Included</v>
      </c>
    </row>
    <row r="22" spans="1:17">
      <c r="A22" s="8" t="s">
        <v>1163</v>
      </c>
      <c r="B22" s="8" t="s">
        <v>1164</v>
      </c>
      <c r="C22" s="8" t="s">
        <v>1165</v>
      </c>
      <c r="D22" s="8" t="s">
        <v>1097</v>
      </c>
      <c r="E22" s="8" t="s">
        <v>1121</v>
      </c>
      <c r="F22" s="8" t="s">
        <v>1083</v>
      </c>
      <c r="G22" s="8" t="s">
        <v>1084</v>
      </c>
      <c r="H22" s="8">
        <v>29</v>
      </c>
      <c r="I22" s="11">
        <v>43050</v>
      </c>
      <c r="J22" s="12">
        <v>95729</v>
      </c>
      <c r="K22" s="13">
        <v>0</v>
      </c>
      <c r="L22" s="8" t="s">
        <v>1085</v>
      </c>
      <c r="M22" s="8" t="s">
        <v>1107</v>
      </c>
      <c r="N22" t="b">
        <f t="shared" si="0"/>
        <v>0</v>
      </c>
      <c r="O22" t="str">
        <f t="shared" si="1"/>
        <v>no bonus</v>
      </c>
      <c r="P22" t="str">
        <f t="shared" si="2"/>
        <v>Included</v>
      </c>
      <c r="Q22" t="str">
        <f t="shared" si="3"/>
        <v>Excluded</v>
      </c>
    </row>
    <row r="23" spans="1:17">
      <c r="A23" s="8" t="s">
        <v>1166</v>
      </c>
      <c r="B23" s="8" t="s">
        <v>1167</v>
      </c>
      <c r="C23" s="8" t="s">
        <v>1136</v>
      </c>
      <c r="D23" s="8" t="s">
        <v>1120</v>
      </c>
      <c r="E23" s="8" t="s">
        <v>1121</v>
      </c>
      <c r="F23" s="8" t="s">
        <v>1105</v>
      </c>
      <c r="G23" s="8" t="s">
        <v>1106</v>
      </c>
      <c r="H23" s="8">
        <v>63</v>
      </c>
      <c r="I23" s="11">
        <v>40027</v>
      </c>
      <c r="J23" s="12">
        <v>102649</v>
      </c>
      <c r="K23" s="13">
        <v>0.06</v>
      </c>
      <c r="L23" s="8" t="s">
        <v>1085</v>
      </c>
      <c r="M23" s="8" t="s">
        <v>1112</v>
      </c>
      <c r="N23" t="b">
        <f t="shared" si="0"/>
        <v>1</v>
      </c>
      <c r="O23" t="str">
        <f t="shared" si="1"/>
        <v>Bonus</v>
      </c>
      <c r="P23" t="str">
        <f t="shared" si="2"/>
        <v>Excluded</v>
      </c>
      <c r="Q23" t="str">
        <f t="shared" si="3"/>
        <v>Included</v>
      </c>
    </row>
    <row r="24" spans="1:17">
      <c r="A24" s="8" t="s">
        <v>1168</v>
      </c>
      <c r="B24" s="8" t="s">
        <v>1169</v>
      </c>
      <c r="C24" s="8" t="s">
        <v>1152</v>
      </c>
      <c r="D24" s="8" t="s">
        <v>1120</v>
      </c>
      <c r="E24" s="8" t="s">
        <v>1121</v>
      </c>
      <c r="F24" s="8" t="s">
        <v>1083</v>
      </c>
      <c r="G24" s="8" t="s">
        <v>1084</v>
      </c>
      <c r="H24" s="8">
        <v>45</v>
      </c>
      <c r="I24" s="8" t="s">
        <v>1170</v>
      </c>
      <c r="J24" s="12">
        <v>122875</v>
      </c>
      <c r="K24" s="13">
        <v>0.12</v>
      </c>
      <c r="L24" s="8" t="s">
        <v>1085</v>
      </c>
      <c r="M24" s="8" t="s">
        <v>1093</v>
      </c>
      <c r="N24" t="b">
        <f t="shared" si="0"/>
        <v>0</v>
      </c>
      <c r="O24" t="str">
        <f t="shared" si="1"/>
        <v>no bonus</v>
      </c>
      <c r="P24" t="str">
        <f t="shared" si="2"/>
        <v>Excluded</v>
      </c>
      <c r="Q24" t="str">
        <f t="shared" si="3"/>
        <v>Excluded</v>
      </c>
    </row>
    <row r="25" spans="1:17">
      <c r="A25" s="8" t="s">
        <v>1171</v>
      </c>
      <c r="B25" s="8" t="s">
        <v>1172</v>
      </c>
      <c r="C25" s="8" t="s">
        <v>1173</v>
      </c>
      <c r="D25" s="8" t="s">
        <v>1097</v>
      </c>
      <c r="E25" s="8" t="s">
        <v>1098</v>
      </c>
      <c r="F25" s="8" t="s">
        <v>1105</v>
      </c>
      <c r="G25" s="8" t="s">
        <v>1153</v>
      </c>
      <c r="H25" s="8">
        <v>43</v>
      </c>
      <c r="I25" s="8" t="s">
        <v>1174</v>
      </c>
      <c r="J25" s="12">
        <v>83323</v>
      </c>
      <c r="K25" s="13">
        <v>0</v>
      </c>
      <c r="L25" s="8" t="s">
        <v>1085</v>
      </c>
      <c r="M25" s="8" t="s">
        <v>1116</v>
      </c>
      <c r="N25" t="b">
        <f t="shared" si="0"/>
        <v>0</v>
      </c>
      <c r="O25" t="str">
        <f t="shared" si="1"/>
        <v>no bonus</v>
      </c>
      <c r="P25" t="str">
        <f t="shared" si="2"/>
        <v>Included</v>
      </c>
      <c r="Q25" t="str">
        <f t="shared" si="3"/>
        <v>Included</v>
      </c>
    </row>
    <row r="26" spans="1:17">
      <c r="A26" s="8" t="s">
        <v>1175</v>
      </c>
      <c r="B26" s="8" t="s">
        <v>1176</v>
      </c>
      <c r="C26" s="8" t="s">
        <v>1177</v>
      </c>
      <c r="D26" s="8" t="s">
        <v>1090</v>
      </c>
      <c r="E26" s="8" t="s">
        <v>1082</v>
      </c>
      <c r="F26" s="8" t="s">
        <v>1105</v>
      </c>
      <c r="G26" s="8" t="s">
        <v>1084</v>
      </c>
      <c r="H26" s="8">
        <v>31</v>
      </c>
      <c r="I26" s="8" t="s">
        <v>1178</v>
      </c>
      <c r="J26" s="12">
        <v>66721</v>
      </c>
      <c r="K26" s="13">
        <v>0</v>
      </c>
      <c r="L26" s="8" t="s">
        <v>1100</v>
      </c>
      <c r="M26" s="8" t="s">
        <v>1101</v>
      </c>
      <c r="N26" t="b">
        <f t="shared" si="0"/>
        <v>0</v>
      </c>
      <c r="O26" t="str">
        <f t="shared" si="1"/>
        <v>no bonus</v>
      </c>
      <c r="P26" t="str">
        <f t="shared" si="2"/>
        <v>Excluded</v>
      </c>
      <c r="Q26" t="str">
        <f t="shared" si="3"/>
        <v>Included</v>
      </c>
    </row>
    <row r="27" spans="1:17">
      <c r="A27" s="8" t="s">
        <v>1179</v>
      </c>
      <c r="B27" s="8" t="s">
        <v>1180</v>
      </c>
      <c r="C27" s="8" t="s">
        <v>1160</v>
      </c>
      <c r="D27" s="8" t="s">
        <v>1120</v>
      </c>
      <c r="E27" s="8" t="s">
        <v>1121</v>
      </c>
      <c r="F27" s="8" t="s">
        <v>1083</v>
      </c>
      <c r="G27" s="8" t="s">
        <v>1084</v>
      </c>
      <c r="H27" s="8">
        <v>48</v>
      </c>
      <c r="I27" s="8" t="s">
        <v>1181</v>
      </c>
      <c r="J27" s="12">
        <v>246400</v>
      </c>
      <c r="K27" s="13">
        <v>0.36</v>
      </c>
      <c r="L27" s="8" t="s">
        <v>1100</v>
      </c>
      <c r="M27" s="8" t="s">
        <v>1123</v>
      </c>
      <c r="N27" t="b">
        <f t="shared" si="0"/>
        <v>0</v>
      </c>
      <c r="O27" t="str">
        <f t="shared" si="1"/>
        <v>no bonus</v>
      </c>
      <c r="P27" t="str">
        <f t="shared" si="2"/>
        <v>Excluded</v>
      </c>
      <c r="Q27" t="str">
        <f t="shared" si="3"/>
        <v>Included</v>
      </c>
    </row>
    <row r="28" spans="1:17">
      <c r="A28" s="8" t="s">
        <v>1182</v>
      </c>
      <c r="B28" s="8" t="s">
        <v>1183</v>
      </c>
      <c r="C28" s="8" t="s">
        <v>1136</v>
      </c>
      <c r="D28" s="8" t="s">
        <v>1090</v>
      </c>
      <c r="E28" s="8" t="s">
        <v>1121</v>
      </c>
      <c r="F28" s="8" t="s">
        <v>1083</v>
      </c>
      <c r="G28" s="8" t="s">
        <v>1133</v>
      </c>
      <c r="H28" s="8">
        <v>55</v>
      </c>
      <c r="I28" s="8" t="s">
        <v>1184</v>
      </c>
      <c r="J28" s="12">
        <v>113525</v>
      </c>
      <c r="K28" s="13">
        <v>0.06</v>
      </c>
      <c r="L28" s="8" t="s">
        <v>1085</v>
      </c>
      <c r="M28" s="8" t="s">
        <v>1137</v>
      </c>
      <c r="N28" t="b">
        <f t="shared" si="0"/>
        <v>1</v>
      </c>
      <c r="O28" t="str">
        <f t="shared" si="1"/>
        <v>Bonus</v>
      </c>
      <c r="P28" t="str">
        <f t="shared" si="2"/>
        <v>Excluded</v>
      </c>
      <c r="Q28" t="str">
        <f t="shared" si="3"/>
        <v>Excluded</v>
      </c>
    </row>
    <row r="29" spans="1:17">
      <c r="A29" s="8" t="s">
        <v>1185</v>
      </c>
      <c r="B29" s="8" t="s">
        <v>1186</v>
      </c>
      <c r="C29" s="8" t="s">
        <v>1110</v>
      </c>
      <c r="D29" s="8" t="s">
        <v>1120</v>
      </c>
      <c r="E29" s="8" t="s">
        <v>1082</v>
      </c>
      <c r="F29" s="8" t="s">
        <v>1083</v>
      </c>
      <c r="G29" s="8" t="s">
        <v>1084</v>
      </c>
      <c r="H29" s="8">
        <v>64</v>
      </c>
      <c r="I29" s="8" t="s">
        <v>1187</v>
      </c>
      <c r="J29" s="12">
        <v>184342</v>
      </c>
      <c r="K29" s="13">
        <v>0.22</v>
      </c>
      <c r="L29" s="8" t="s">
        <v>1100</v>
      </c>
      <c r="M29" s="8" t="s">
        <v>1188</v>
      </c>
      <c r="N29" t="b">
        <f t="shared" si="0"/>
        <v>1</v>
      </c>
      <c r="O29" t="str">
        <f t="shared" si="1"/>
        <v>Bonus</v>
      </c>
      <c r="P29" t="str">
        <f t="shared" si="2"/>
        <v>Excluded</v>
      </c>
      <c r="Q29" t="str">
        <f t="shared" si="3"/>
        <v>Included</v>
      </c>
    </row>
    <row r="30" spans="1:17">
      <c r="A30" s="8" t="s">
        <v>1189</v>
      </c>
      <c r="B30" s="8" t="s">
        <v>1190</v>
      </c>
      <c r="C30" s="8" t="s">
        <v>1110</v>
      </c>
      <c r="D30" s="8" t="s">
        <v>1148</v>
      </c>
      <c r="E30" s="8" t="s">
        <v>1121</v>
      </c>
      <c r="F30" s="8" t="s">
        <v>1083</v>
      </c>
      <c r="G30" s="8" t="s">
        <v>1133</v>
      </c>
      <c r="H30" s="8">
        <v>58</v>
      </c>
      <c r="I30" s="8" t="s">
        <v>1191</v>
      </c>
      <c r="J30" s="12">
        <v>151341</v>
      </c>
      <c r="K30" s="13">
        <v>0.22</v>
      </c>
      <c r="L30" s="8" t="s">
        <v>1085</v>
      </c>
      <c r="M30" s="8" t="s">
        <v>1107</v>
      </c>
      <c r="N30" t="b">
        <f t="shared" si="0"/>
        <v>1</v>
      </c>
      <c r="O30" t="str">
        <f t="shared" si="1"/>
        <v>Bonus</v>
      </c>
      <c r="P30" t="str">
        <f t="shared" si="2"/>
        <v>Excluded</v>
      </c>
      <c r="Q30" t="str">
        <f t="shared" si="3"/>
        <v>Excluded</v>
      </c>
    </row>
    <row r="31" spans="1:17">
      <c r="A31" s="8" t="s">
        <v>1192</v>
      </c>
      <c r="B31" s="8" t="s">
        <v>1193</v>
      </c>
      <c r="C31" s="8" t="s">
        <v>1136</v>
      </c>
      <c r="D31" s="8" t="s">
        <v>1148</v>
      </c>
      <c r="E31" s="8" t="s">
        <v>1082</v>
      </c>
      <c r="F31" s="8" t="s">
        <v>1105</v>
      </c>
      <c r="G31" s="8" t="s">
        <v>1133</v>
      </c>
      <c r="H31" s="8">
        <v>50</v>
      </c>
      <c r="I31" s="11">
        <v>38299</v>
      </c>
      <c r="J31" s="12">
        <v>118900</v>
      </c>
      <c r="K31" s="13">
        <v>0.05</v>
      </c>
      <c r="L31" s="8" t="s">
        <v>1085</v>
      </c>
      <c r="M31" s="8" t="s">
        <v>1107</v>
      </c>
      <c r="N31" t="b">
        <f t="shared" si="0"/>
        <v>0</v>
      </c>
      <c r="O31" t="str">
        <f t="shared" si="1"/>
        <v>Bonus</v>
      </c>
      <c r="P31" t="str">
        <f t="shared" si="2"/>
        <v>Excluded</v>
      </c>
      <c r="Q31" t="str">
        <f t="shared" si="3"/>
        <v>Included</v>
      </c>
    </row>
    <row r="32" spans="1:17">
      <c r="A32" s="8" t="s">
        <v>1194</v>
      </c>
      <c r="B32" s="8" t="s">
        <v>1195</v>
      </c>
      <c r="C32" s="8" t="s">
        <v>1152</v>
      </c>
      <c r="D32" s="8" t="s">
        <v>1148</v>
      </c>
      <c r="E32" s="8" t="s">
        <v>1091</v>
      </c>
      <c r="F32" s="8" t="s">
        <v>1105</v>
      </c>
      <c r="G32" s="8" t="s">
        <v>1153</v>
      </c>
      <c r="H32" s="8">
        <v>41</v>
      </c>
      <c r="I32" s="8" t="s">
        <v>1196</v>
      </c>
      <c r="J32" s="12">
        <v>153370</v>
      </c>
      <c r="K32" s="13">
        <v>0.1</v>
      </c>
      <c r="L32" s="8" t="s">
        <v>1085</v>
      </c>
      <c r="M32" s="8" t="s">
        <v>1093</v>
      </c>
      <c r="N32" t="b">
        <f t="shared" si="0"/>
        <v>0</v>
      </c>
      <c r="O32" t="str">
        <f t="shared" si="1"/>
        <v>no bonus</v>
      </c>
      <c r="P32" t="str">
        <f t="shared" si="2"/>
        <v>Excluded</v>
      </c>
      <c r="Q32" t="str">
        <f t="shared" si="3"/>
        <v>Included</v>
      </c>
    </row>
    <row r="33" spans="1:17">
      <c r="A33" s="8" t="s">
        <v>1197</v>
      </c>
      <c r="B33" s="8" t="s">
        <v>1198</v>
      </c>
      <c r="C33" s="8" t="s">
        <v>1132</v>
      </c>
      <c r="D33" s="8" t="s">
        <v>1097</v>
      </c>
      <c r="E33" s="8" t="s">
        <v>1121</v>
      </c>
      <c r="F33" s="8" t="s">
        <v>1083</v>
      </c>
      <c r="G33" s="8" t="s">
        <v>1084</v>
      </c>
      <c r="H33" s="8">
        <v>50</v>
      </c>
      <c r="I33" s="8" t="s">
        <v>1199</v>
      </c>
      <c r="J33" s="12">
        <v>72860</v>
      </c>
      <c r="K33" s="13">
        <v>0</v>
      </c>
      <c r="L33" s="8" t="s">
        <v>1100</v>
      </c>
      <c r="M33" s="8" t="s">
        <v>1101</v>
      </c>
      <c r="N33" t="b">
        <f t="shared" si="0"/>
        <v>0</v>
      </c>
      <c r="O33" t="str">
        <f t="shared" si="1"/>
        <v>Bonus</v>
      </c>
      <c r="P33" t="str">
        <f t="shared" si="2"/>
        <v>Excluded</v>
      </c>
      <c r="Q33" t="str">
        <f t="shared" si="3"/>
        <v>Included</v>
      </c>
    </row>
    <row r="34" spans="1:17">
      <c r="A34" s="8" t="s">
        <v>1200</v>
      </c>
      <c r="B34" s="8" t="s">
        <v>1201</v>
      </c>
      <c r="C34" s="8" t="s">
        <v>1160</v>
      </c>
      <c r="D34" s="8" t="s">
        <v>1127</v>
      </c>
      <c r="E34" s="8" t="s">
        <v>1098</v>
      </c>
      <c r="F34" s="8" t="s">
        <v>1105</v>
      </c>
      <c r="G34" s="8" t="s">
        <v>1133</v>
      </c>
      <c r="H34" s="8">
        <v>59</v>
      </c>
      <c r="I34" s="8" t="s">
        <v>1202</v>
      </c>
      <c r="J34" s="12">
        <v>255610</v>
      </c>
      <c r="K34" s="13">
        <v>0.36</v>
      </c>
      <c r="L34" s="8" t="s">
        <v>1085</v>
      </c>
      <c r="M34" s="8" t="s">
        <v>1116</v>
      </c>
      <c r="N34" t="b">
        <f t="shared" si="0"/>
        <v>1</v>
      </c>
      <c r="O34" t="str">
        <f t="shared" si="1"/>
        <v>Bonus</v>
      </c>
      <c r="P34" t="str">
        <f t="shared" si="2"/>
        <v>Excluded</v>
      </c>
      <c r="Q34" t="str">
        <f t="shared" si="3"/>
        <v>Included</v>
      </c>
    </row>
    <row r="35" spans="1:17">
      <c r="A35" s="8" t="s">
        <v>1203</v>
      </c>
      <c r="B35" s="8" t="s">
        <v>1204</v>
      </c>
      <c r="C35" s="8" t="s">
        <v>1119</v>
      </c>
      <c r="D35" s="8" t="s">
        <v>1090</v>
      </c>
      <c r="E35" s="8" t="s">
        <v>1091</v>
      </c>
      <c r="F35" s="8" t="s">
        <v>1083</v>
      </c>
      <c r="G35" s="8" t="s">
        <v>1084</v>
      </c>
      <c r="H35" s="8">
        <v>26</v>
      </c>
      <c r="I35" s="8" t="s">
        <v>1205</v>
      </c>
      <c r="J35" s="12">
        <v>84962</v>
      </c>
      <c r="K35" s="13">
        <v>0</v>
      </c>
      <c r="L35" s="8" t="s">
        <v>1100</v>
      </c>
      <c r="M35" s="8" t="s">
        <v>1129</v>
      </c>
      <c r="N35" t="b">
        <f t="shared" si="0"/>
        <v>0</v>
      </c>
      <c r="O35" t="str">
        <f t="shared" si="1"/>
        <v>no bonus</v>
      </c>
      <c r="P35" t="str">
        <f t="shared" si="2"/>
        <v>Excluded</v>
      </c>
      <c r="Q35" t="str">
        <f t="shared" si="3"/>
        <v>Included</v>
      </c>
    </row>
    <row r="36" spans="1:17">
      <c r="A36" s="8" t="s">
        <v>1206</v>
      </c>
      <c r="B36" s="8" t="s">
        <v>1207</v>
      </c>
      <c r="C36" s="8" t="s">
        <v>1136</v>
      </c>
      <c r="D36" s="8" t="s">
        <v>1208</v>
      </c>
      <c r="E36" s="8" t="s">
        <v>1121</v>
      </c>
      <c r="F36" s="8" t="s">
        <v>1083</v>
      </c>
      <c r="G36" s="8" t="s">
        <v>1106</v>
      </c>
      <c r="H36" s="8">
        <v>55</v>
      </c>
      <c r="I36" s="11">
        <v>42837</v>
      </c>
      <c r="J36" s="12">
        <v>103795</v>
      </c>
      <c r="K36" s="13">
        <v>7.0000000000000007E-2</v>
      </c>
      <c r="L36" s="8" t="s">
        <v>1085</v>
      </c>
      <c r="M36" s="8" t="s">
        <v>1107</v>
      </c>
      <c r="N36" t="b">
        <f t="shared" si="0"/>
        <v>1</v>
      </c>
      <c r="O36" t="str">
        <f t="shared" si="1"/>
        <v>Bonus</v>
      </c>
      <c r="P36" t="str">
        <f t="shared" si="2"/>
        <v>Excluded</v>
      </c>
      <c r="Q36" t="str">
        <f t="shared" si="3"/>
        <v>Excluded</v>
      </c>
    </row>
    <row r="37" spans="1:17">
      <c r="A37" s="8" t="s">
        <v>1209</v>
      </c>
      <c r="B37" s="8" t="s">
        <v>1210</v>
      </c>
      <c r="C37" s="8" t="s">
        <v>1165</v>
      </c>
      <c r="D37" s="8" t="s">
        <v>1097</v>
      </c>
      <c r="E37" s="8" t="s">
        <v>1091</v>
      </c>
      <c r="F37" s="8" t="s">
        <v>1105</v>
      </c>
      <c r="G37" s="8" t="s">
        <v>1084</v>
      </c>
      <c r="H37" s="8">
        <v>32</v>
      </c>
      <c r="I37" s="11">
        <v>43405</v>
      </c>
      <c r="J37" s="12">
        <v>97509</v>
      </c>
      <c r="K37" s="13">
        <v>0</v>
      </c>
      <c r="L37" s="8" t="s">
        <v>1100</v>
      </c>
      <c r="M37" s="8" t="s">
        <v>1101</v>
      </c>
      <c r="N37" t="b">
        <f t="shared" si="0"/>
        <v>0</v>
      </c>
      <c r="O37" t="str">
        <f t="shared" si="1"/>
        <v>no bonus</v>
      </c>
      <c r="P37" t="str">
        <f t="shared" si="2"/>
        <v>Excluded</v>
      </c>
      <c r="Q37" t="str">
        <f t="shared" si="3"/>
        <v>Included</v>
      </c>
    </row>
    <row r="38" spans="1:17">
      <c r="A38" s="8" t="s">
        <v>1211</v>
      </c>
      <c r="B38" s="8" t="s">
        <v>1212</v>
      </c>
      <c r="C38" s="8" t="s">
        <v>1213</v>
      </c>
      <c r="D38" s="8" t="s">
        <v>1208</v>
      </c>
      <c r="E38" s="8" t="s">
        <v>1121</v>
      </c>
      <c r="F38" s="8" t="s">
        <v>1083</v>
      </c>
      <c r="G38" s="8" t="s">
        <v>1133</v>
      </c>
      <c r="H38" s="8">
        <v>50</v>
      </c>
      <c r="I38" s="11">
        <v>44751</v>
      </c>
      <c r="J38" s="12">
        <v>54931</v>
      </c>
      <c r="K38" s="13">
        <v>0</v>
      </c>
      <c r="L38" s="8" t="s">
        <v>1085</v>
      </c>
      <c r="M38" s="8" t="s">
        <v>1112</v>
      </c>
      <c r="N38" t="b">
        <f t="shared" si="0"/>
        <v>0</v>
      </c>
      <c r="O38" t="str">
        <f t="shared" si="1"/>
        <v>Bonus</v>
      </c>
      <c r="P38" t="str">
        <f t="shared" si="2"/>
        <v>Excluded</v>
      </c>
      <c r="Q38" t="str">
        <f t="shared" si="3"/>
        <v>Excluded</v>
      </c>
    </row>
    <row r="39" spans="1:17">
      <c r="A39" s="8" t="s">
        <v>1214</v>
      </c>
      <c r="B39" s="8" t="s">
        <v>1215</v>
      </c>
      <c r="C39" s="8" t="s">
        <v>1216</v>
      </c>
      <c r="D39" s="8" t="s">
        <v>1081</v>
      </c>
      <c r="E39" s="8" t="s">
        <v>1121</v>
      </c>
      <c r="F39" s="8" t="s">
        <v>1083</v>
      </c>
      <c r="G39" s="8" t="s">
        <v>1106</v>
      </c>
      <c r="H39" s="8">
        <v>54</v>
      </c>
      <c r="I39" s="8" t="s">
        <v>1217</v>
      </c>
      <c r="J39" s="12">
        <v>88689</v>
      </c>
      <c r="K39" s="13">
        <v>0</v>
      </c>
      <c r="L39" s="8" t="s">
        <v>1085</v>
      </c>
      <c r="M39" s="8" t="s">
        <v>1116</v>
      </c>
      <c r="N39" t="b">
        <f t="shared" si="0"/>
        <v>1</v>
      </c>
      <c r="O39" t="str">
        <f t="shared" si="1"/>
        <v>Bonus</v>
      </c>
      <c r="P39" t="str">
        <f t="shared" si="2"/>
        <v>Excluded</v>
      </c>
      <c r="Q39" t="str">
        <f t="shared" si="3"/>
        <v>Excluded</v>
      </c>
    </row>
    <row r="40" spans="1:17">
      <c r="A40" s="8" t="s">
        <v>1218</v>
      </c>
      <c r="B40" s="8" t="s">
        <v>1219</v>
      </c>
      <c r="C40" s="8" t="s">
        <v>1152</v>
      </c>
      <c r="D40" s="8" t="s">
        <v>1120</v>
      </c>
      <c r="E40" s="8" t="s">
        <v>1091</v>
      </c>
      <c r="F40" s="8" t="s">
        <v>1105</v>
      </c>
      <c r="G40" s="8" t="s">
        <v>1106</v>
      </c>
      <c r="H40" s="8">
        <v>31</v>
      </c>
      <c r="I40" s="8" t="s">
        <v>1220</v>
      </c>
      <c r="J40" s="12">
        <v>158184</v>
      </c>
      <c r="K40" s="13">
        <v>0.15</v>
      </c>
      <c r="L40" s="8" t="s">
        <v>1221</v>
      </c>
      <c r="M40" s="8" t="s">
        <v>1222</v>
      </c>
      <c r="N40" t="b">
        <f t="shared" si="0"/>
        <v>0</v>
      </c>
      <c r="O40" t="str">
        <f t="shared" si="1"/>
        <v>no bonus</v>
      </c>
      <c r="P40" t="str">
        <f t="shared" si="2"/>
        <v>Excluded</v>
      </c>
      <c r="Q40" t="str">
        <f t="shared" si="3"/>
        <v>Included</v>
      </c>
    </row>
  </sheetData>
  <mergeCells count="1">
    <mergeCell ref="C1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"/>
  <sheetViews>
    <sheetView workbookViewId="0">
      <selection activeCell="H14" sqref="H14"/>
    </sheetView>
  </sheetViews>
  <sheetFormatPr defaultColWidth="9" defaultRowHeight="14.4"/>
  <cols>
    <col min="1" max="1" width="10.33203125" customWidth="1"/>
    <col min="2" max="2" width="15.44140625" customWidth="1"/>
    <col min="3" max="3" width="10.33203125" customWidth="1"/>
    <col min="6" max="6" width="10.33203125" customWidth="1"/>
    <col min="8" max="8" width="15.44140625" customWidth="1"/>
    <col min="10" max="10" width="11.21875" customWidth="1"/>
    <col min="11" max="11" width="12.77734375" customWidth="1"/>
    <col min="12" max="12" width="11.88671875" customWidth="1"/>
  </cols>
  <sheetData>
    <row r="1" spans="1:12">
      <c r="E1" s="51" t="s">
        <v>1223</v>
      </c>
      <c r="F1" s="51"/>
      <c r="G1" s="51"/>
      <c r="H1" s="51"/>
      <c r="I1" s="51"/>
      <c r="J1" s="51"/>
    </row>
    <row r="2" spans="1:12">
      <c r="E2" s="51"/>
      <c r="F2" s="51"/>
      <c r="G2" s="51"/>
      <c r="H2" s="51"/>
      <c r="I2" s="51"/>
      <c r="J2" s="51"/>
    </row>
    <row r="4" spans="1:12">
      <c r="A4" t="s">
        <v>1224</v>
      </c>
      <c r="B4" t="s">
        <v>1225</v>
      </c>
      <c r="C4" t="s">
        <v>1226</v>
      </c>
      <c r="D4" t="s">
        <v>1227</v>
      </c>
      <c r="E4" t="s">
        <v>1228</v>
      </c>
      <c r="F4" t="s">
        <v>3</v>
      </c>
      <c r="G4" t="s">
        <v>1229</v>
      </c>
      <c r="H4" t="s">
        <v>1230</v>
      </c>
      <c r="I4" t="s">
        <v>1231</v>
      </c>
      <c r="J4" t="s">
        <v>1232</v>
      </c>
      <c r="K4" t="s">
        <v>1233</v>
      </c>
    </row>
    <row r="5" spans="1:12">
      <c r="A5" s="6">
        <f ca="1">TODAY()</f>
        <v>46097</v>
      </c>
      <c r="B5" s="7">
        <f ca="1">NOW()</f>
        <v>46097.856699652781</v>
      </c>
      <c r="C5" s="1">
        <f ca="1">DAY(B5)</f>
        <v>16</v>
      </c>
      <c r="D5">
        <f ca="1">MONTH(A5)</f>
        <v>3</v>
      </c>
      <c r="E5">
        <f ca="1">YEAR(B5)</f>
        <v>2026</v>
      </c>
      <c r="F5" s="6">
        <f ca="1">DATE(E5,D5,13)</f>
        <v>46094</v>
      </c>
      <c r="G5">
        <f ca="1">HOUR(B5)</f>
        <v>20</v>
      </c>
      <c r="H5" s="7">
        <f ca="1">MIN(B5)</f>
        <v>46097.856699652781</v>
      </c>
      <c r="I5">
        <f ca="1">SECOND(H5)</f>
        <v>39</v>
      </c>
      <c r="J5" s="6">
        <f ca="1">A5-3</f>
        <v>46094</v>
      </c>
      <c r="K5" s="6">
        <f ca="1">EDATE(A5,3)</f>
        <v>46189</v>
      </c>
      <c r="L5" s="6"/>
    </row>
  </sheetData>
  <mergeCells count="1">
    <mergeCell ref="E1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FD07-B5A2-495E-9CA3-6D36333B9B91}">
  <dimension ref="A1:N1263"/>
  <sheetViews>
    <sheetView workbookViewId="0"/>
  </sheetViews>
  <sheetFormatPr defaultRowHeight="14.4"/>
  <cols>
    <col min="1" max="1" width="7" bestFit="1" customWidth="1"/>
    <col min="2" max="2" width="20.109375" bestFit="1" customWidth="1"/>
    <col min="3" max="3" width="25.5546875" bestFit="1" customWidth="1"/>
    <col min="4" max="4" width="15.6640625" bestFit="1" customWidth="1"/>
    <col min="5" max="5" width="21.88671875" bestFit="1" customWidth="1"/>
    <col min="6" max="6" width="9.33203125" bestFit="1" customWidth="1"/>
    <col min="7" max="7" width="10.5546875" bestFit="1" customWidth="1"/>
    <col min="8" max="8" width="6.44140625" bestFit="1" customWidth="1"/>
    <col min="9" max="9" width="10.88671875" bestFit="1" customWidth="1"/>
    <col min="10" max="10" width="15.44140625" bestFit="1" customWidth="1"/>
    <col min="11" max="11" width="10.33203125" bestFit="1" customWidth="1"/>
    <col min="12" max="12" width="11.88671875" bestFit="1" customWidth="1"/>
    <col min="13" max="13" width="12.44140625" bestFit="1" customWidth="1"/>
    <col min="14" max="14" width="10.5546875" bestFit="1" customWidth="1"/>
  </cols>
  <sheetData>
    <row r="1" spans="1:14">
      <c r="A1" t="s">
        <v>1063</v>
      </c>
      <c r="B1" t="s">
        <v>28</v>
      </c>
      <c r="C1" t="s">
        <v>1064</v>
      </c>
      <c r="D1" t="s">
        <v>1065</v>
      </c>
      <c r="E1" t="s">
        <v>1066</v>
      </c>
      <c r="F1" t="s">
        <v>1067</v>
      </c>
      <c r="G1" t="s">
        <v>1068</v>
      </c>
      <c r="H1" t="s">
        <v>1069</v>
      </c>
      <c r="I1" t="s">
        <v>1070</v>
      </c>
      <c r="J1" t="s">
        <v>1071</v>
      </c>
      <c r="K1" t="s">
        <v>1072</v>
      </c>
      <c r="L1" t="s">
        <v>1073</v>
      </c>
      <c r="M1" t="s">
        <v>29</v>
      </c>
      <c r="N1" t="s">
        <v>1240</v>
      </c>
    </row>
    <row r="2" spans="1:14">
      <c r="A2" s="1" t="s">
        <v>1078</v>
      </c>
      <c r="B2" s="1" t="s">
        <v>1079</v>
      </c>
      <c r="C2" s="1" t="s">
        <v>1080</v>
      </c>
      <c r="D2" s="1" t="s">
        <v>1081</v>
      </c>
      <c r="E2" s="1" t="s">
        <v>1082</v>
      </c>
      <c r="F2" s="1" t="s">
        <v>1083</v>
      </c>
      <c r="G2" s="1" t="s">
        <v>1084</v>
      </c>
      <c r="H2">
        <v>47</v>
      </c>
      <c r="I2">
        <v>44683</v>
      </c>
      <c r="J2">
        <v>92368</v>
      </c>
      <c r="K2">
        <v>0</v>
      </c>
      <c r="L2" s="1" t="s">
        <v>1085</v>
      </c>
      <c r="M2" s="1" t="s">
        <v>1086</v>
      </c>
      <c r="N2" t="s">
        <v>1241</v>
      </c>
    </row>
    <row r="3" spans="1:14">
      <c r="A3" s="1" t="s">
        <v>1087</v>
      </c>
      <c r="B3" s="1" t="s">
        <v>1088</v>
      </c>
      <c r="C3" s="1" t="s">
        <v>1089</v>
      </c>
      <c r="D3" s="1" t="s">
        <v>1090</v>
      </c>
      <c r="E3" s="1" t="s">
        <v>1091</v>
      </c>
      <c r="F3" s="1" t="s">
        <v>1083</v>
      </c>
      <c r="G3" s="1" t="s">
        <v>1084</v>
      </c>
      <c r="H3">
        <v>58</v>
      </c>
      <c r="I3" t="s">
        <v>1092</v>
      </c>
      <c r="J3">
        <v>45703</v>
      </c>
      <c r="K3">
        <v>0</v>
      </c>
      <c r="L3" s="1" t="s">
        <v>1085</v>
      </c>
      <c r="M3" s="1" t="s">
        <v>1093</v>
      </c>
      <c r="N3" t="s">
        <v>1241</v>
      </c>
    </row>
    <row r="4" spans="1:14">
      <c r="A4" s="1" t="s">
        <v>1094</v>
      </c>
      <c r="B4" s="1" t="s">
        <v>1095</v>
      </c>
      <c r="C4" s="1" t="s">
        <v>1096</v>
      </c>
      <c r="D4" s="1" t="s">
        <v>1097</v>
      </c>
      <c r="E4" s="1" t="s">
        <v>1098</v>
      </c>
      <c r="F4" s="1" t="s">
        <v>1083</v>
      </c>
      <c r="G4" s="1" t="s">
        <v>1084</v>
      </c>
      <c r="H4">
        <v>34</v>
      </c>
      <c r="I4" t="s">
        <v>1099</v>
      </c>
      <c r="J4">
        <v>83576</v>
      </c>
      <c r="K4">
        <v>0</v>
      </c>
      <c r="L4" s="1" t="s">
        <v>1100</v>
      </c>
      <c r="M4" s="1" t="s">
        <v>1101</v>
      </c>
      <c r="N4" t="s">
        <v>1241</v>
      </c>
    </row>
    <row r="5" spans="1:14">
      <c r="A5" s="1" t="s">
        <v>1102</v>
      </c>
      <c r="B5" s="1" t="s">
        <v>1103</v>
      </c>
      <c r="C5" s="1" t="s">
        <v>1104</v>
      </c>
      <c r="D5" s="1" t="s">
        <v>1097</v>
      </c>
      <c r="E5" s="1" t="s">
        <v>1091</v>
      </c>
      <c r="F5" s="1" t="s">
        <v>1105</v>
      </c>
      <c r="G5" s="1" t="s">
        <v>1106</v>
      </c>
      <c r="H5">
        <v>39</v>
      </c>
      <c r="I5">
        <v>43285</v>
      </c>
      <c r="J5">
        <v>98062</v>
      </c>
      <c r="K5">
        <v>0</v>
      </c>
      <c r="L5" s="1" t="s">
        <v>1085</v>
      </c>
      <c r="M5" s="1" t="s">
        <v>1107</v>
      </c>
      <c r="N5" t="s">
        <v>1241</v>
      </c>
    </row>
    <row r="6" spans="1:14">
      <c r="A6" s="1" t="s">
        <v>1108</v>
      </c>
      <c r="B6" s="1" t="s">
        <v>1109</v>
      </c>
      <c r="C6" s="1" t="s">
        <v>1110</v>
      </c>
      <c r="D6" s="1" t="s">
        <v>1081</v>
      </c>
      <c r="E6" s="1" t="s">
        <v>1091</v>
      </c>
      <c r="F6" s="1" t="s">
        <v>1105</v>
      </c>
      <c r="G6" s="1" t="s">
        <v>1106</v>
      </c>
      <c r="H6">
        <v>42</v>
      </c>
      <c r="I6" t="s">
        <v>1111</v>
      </c>
      <c r="J6">
        <v>175391</v>
      </c>
      <c r="K6">
        <v>0.24</v>
      </c>
      <c r="L6" s="1" t="s">
        <v>1085</v>
      </c>
      <c r="M6" s="1" t="s">
        <v>1112</v>
      </c>
      <c r="N6" t="s">
        <v>1241</v>
      </c>
    </row>
    <row r="7" spans="1:14">
      <c r="A7" s="1" t="s">
        <v>1113</v>
      </c>
      <c r="B7" s="1" t="s">
        <v>1114</v>
      </c>
      <c r="C7" s="1" t="s">
        <v>1096</v>
      </c>
      <c r="D7" s="1" t="s">
        <v>1097</v>
      </c>
      <c r="E7" s="1" t="s">
        <v>1082</v>
      </c>
      <c r="F7" s="1" t="s">
        <v>1083</v>
      </c>
      <c r="G7" s="1" t="s">
        <v>1084</v>
      </c>
      <c r="H7">
        <v>62</v>
      </c>
      <c r="I7" t="s">
        <v>1115</v>
      </c>
      <c r="J7">
        <v>66227</v>
      </c>
      <c r="K7">
        <v>0</v>
      </c>
      <c r="L7" s="1" t="s">
        <v>1085</v>
      </c>
      <c r="M7" s="1" t="s">
        <v>1116</v>
      </c>
      <c r="N7" t="s">
        <v>1242</v>
      </c>
    </row>
    <row r="8" spans="1:14">
      <c r="A8" s="1" t="s">
        <v>1117</v>
      </c>
      <c r="B8" s="1" t="s">
        <v>1118</v>
      </c>
      <c r="C8" s="1" t="s">
        <v>1119</v>
      </c>
      <c r="D8" s="1" t="s">
        <v>1120</v>
      </c>
      <c r="E8" s="1" t="s">
        <v>1121</v>
      </c>
      <c r="F8" s="1" t="s">
        <v>1105</v>
      </c>
      <c r="G8" s="1" t="s">
        <v>1084</v>
      </c>
      <c r="H8">
        <v>58</v>
      </c>
      <c r="I8" t="s">
        <v>1122</v>
      </c>
      <c r="J8">
        <v>89744</v>
      </c>
      <c r="K8">
        <v>0</v>
      </c>
      <c r="L8" s="1" t="s">
        <v>1100</v>
      </c>
      <c r="M8" s="1" t="s">
        <v>1123</v>
      </c>
      <c r="N8" t="s">
        <v>1241</v>
      </c>
    </row>
    <row r="9" spans="1:14">
      <c r="A9" s="1" t="s">
        <v>1124</v>
      </c>
      <c r="B9" s="1" t="s">
        <v>1125</v>
      </c>
      <c r="C9" s="1" t="s">
        <v>1126</v>
      </c>
      <c r="D9" s="1" t="s">
        <v>1127</v>
      </c>
      <c r="E9" s="1" t="s">
        <v>1091</v>
      </c>
      <c r="F9" s="1" t="s">
        <v>1083</v>
      </c>
      <c r="G9" s="1" t="s">
        <v>1084</v>
      </c>
      <c r="H9">
        <v>62</v>
      </c>
      <c r="I9" t="s">
        <v>1128</v>
      </c>
      <c r="J9">
        <v>69674</v>
      </c>
      <c r="K9">
        <v>0</v>
      </c>
      <c r="L9" s="1" t="s">
        <v>1100</v>
      </c>
      <c r="M9" s="1" t="s">
        <v>1129</v>
      </c>
      <c r="N9" t="s">
        <v>1241</v>
      </c>
    </row>
    <row r="10" spans="1:14">
      <c r="A10" s="1" t="s">
        <v>1130</v>
      </c>
      <c r="B10" s="1" t="s">
        <v>1131</v>
      </c>
      <c r="C10" s="1" t="s">
        <v>1132</v>
      </c>
      <c r="D10" s="1" t="s">
        <v>1097</v>
      </c>
      <c r="E10" s="1" t="s">
        <v>1082</v>
      </c>
      <c r="F10" s="1" t="s">
        <v>1105</v>
      </c>
      <c r="G10" s="1" t="s">
        <v>1133</v>
      </c>
      <c r="H10">
        <v>38</v>
      </c>
      <c r="I10">
        <v>40795</v>
      </c>
      <c r="J10">
        <v>97630</v>
      </c>
      <c r="K10">
        <v>0</v>
      </c>
      <c r="L10" s="1" t="s">
        <v>1085</v>
      </c>
      <c r="M10" s="1" t="s">
        <v>1107</v>
      </c>
      <c r="N10" t="s">
        <v>1241</v>
      </c>
    </row>
    <row r="11" spans="1:14">
      <c r="A11" s="1" t="s">
        <v>1134</v>
      </c>
      <c r="B11" s="1" t="s">
        <v>1135</v>
      </c>
      <c r="C11" s="1" t="s">
        <v>1136</v>
      </c>
      <c r="D11" s="1" t="s">
        <v>1127</v>
      </c>
      <c r="E11" s="1" t="s">
        <v>1121</v>
      </c>
      <c r="F11" s="1" t="s">
        <v>1083</v>
      </c>
      <c r="G11" s="1" t="s">
        <v>1133</v>
      </c>
      <c r="H11">
        <v>52</v>
      </c>
      <c r="I11">
        <v>42126</v>
      </c>
      <c r="J11">
        <v>105879</v>
      </c>
      <c r="K11">
        <v>0.1</v>
      </c>
      <c r="L11" s="1" t="s">
        <v>1085</v>
      </c>
      <c r="M11" s="1" t="s">
        <v>1137</v>
      </c>
      <c r="N11" t="s">
        <v>1241</v>
      </c>
    </row>
    <row r="12" spans="1:14">
      <c r="A12" s="1" t="s">
        <v>1138</v>
      </c>
      <c r="B12" s="1" t="s">
        <v>1139</v>
      </c>
      <c r="C12" s="1" t="s">
        <v>1140</v>
      </c>
      <c r="D12" s="1" t="s">
        <v>1097</v>
      </c>
      <c r="E12" s="1" t="s">
        <v>1082</v>
      </c>
      <c r="F12" s="1" t="s">
        <v>1083</v>
      </c>
      <c r="G12" s="1" t="s">
        <v>1106</v>
      </c>
      <c r="H12">
        <v>49</v>
      </c>
      <c r="I12">
        <v>37965</v>
      </c>
      <c r="J12">
        <v>40499</v>
      </c>
      <c r="K12">
        <v>0</v>
      </c>
      <c r="L12" s="1" t="s">
        <v>1085</v>
      </c>
      <c r="M12" s="1" t="s">
        <v>1137</v>
      </c>
      <c r="N12" t="s">
        <v>1241</v>
      </c>
    </row>
    <row r="13" spans="1:14">
      <c r="A13" s="1" t="s">
        <v>1141</v>
      </c>
      <c r="B13" s="1" t="s">
        <v>1142</v>
      </c>
      <c r="C13" s="1" t="s">
        <v>1119</v>
      </c>
      <c r="D13" s="1" t="s">
        <v>1127</v>
      </c>
      <c r="E13" s="1" t="s">
        <v>1121</v>
      </c>
      <c r="F13" s="1" t="s">
        <v>1105</v>
      </c>
      <c r="G13" s="1" t="s">
        <v>1084</v>
      </c>
      <c r="H13">
        <v>63</v>
      </c>
      <c r="I13">
        <v>41706</v>
      </c>
      <c r="J13">
        <v>71418</v>
      </c>
      <c r="K13">
        <v>0</v>
      </c>
      <c r="L13" s="1" t="s">
        <v>1085</v>
      </c>
      <c r="M13" s="1" t="s">
        <v>1116</v>
      </c>
      <c r="N13" t="s">
        <v>1241</v>
      </c>
    </row>
    <row r="14" spans="1:14">
      <c r="A14" s="1" t="s">
        <v>1143</v>
      </c>
      <c r="B14" s="1" t="s">
        <v>1144</v>
      </c>
      <c r="C14" s="1" t="s">
        <v>1110</v>
      </c>
      <c r="D14" s="1" t="s">
        <v>1097</v>
      </c>
      <c r="E14" s="1" t="s">
        <v>1082</v>
      </c>
      <c r="F14" s="1" t="s">
        <v>1083</v>
      </c>
      <c r="G14" s="1" t="s">
        <v>1084</v>
      </c>
      <c r="H14">
        <v>45</v>
      </c>
      <c r="I14" t="s">
        <v>1145</v>
      </c>
      <c r="J14">
        <v>150558</v>
      </c>
      <c r="K14">
        <v>0.23</v>
      </c>
      <c r="L14" s="1" t="s">
        <v>1100</v>
      </c>
      <c r="M14" s="1" t="s">
        <v>1123</v>
      </c>
      <c r="N14" t="s">
        <v>1241</v>
      </c>
    </row>
    <row r="15" spans="1:14">
      <c r="A15" s="1" t="s">
        <v>1146</v>
      </c>
      <c r="B15" s="1" t="s">
        <v>1147</v>
      </c>
      <c r="C15" s="1" t="s">
        <v>1136</v>
      </c>
      <c r="D15" s="1" t="s">
        <v>1148</v>
      </c>
      <c r="E15" s="1" t="s">
        <v>1091</v>
      </c>
      <c r="F15" s="1" t="s">
        <v>1083</v>
      </c>
      <c r="G15" s="1" t="s">
        <v>1133</v>
      </c>
      <c r="H15">
        <v>36</v>
      </c>
      <c r="I15" t="s">
        <v>1149</v>
      </c>
      <c r="J15">
        <v>118912</v>
      </c>
      <c r="K15">
        <v>0.08</v>
      </c>
      <c r="L15" s="1" t="s">
        <v>1085</v>
      </c>
      <c r="M15" s="1" t="s">
        <v>1137</v>
      </c>
      <c r="N15" t="s">
        <v>1241</v>
      </c>
    </row>
    <row r="16" spans="1:14">
      <c r="A16" s="1" t="s">
        <v>1150</v>
      </c>
      <c r="B16" s="1" t="s">
        <v>1151</v>
      </c>
      <c r="C16" s="1" t="s">
        <v>1152</v>
      </c>
      <c r="D16" s="1" t="s">
        <v>1148</v>
      </c>
      <c r="E16" s="1" t="s">
        <v>1091</v>
      </c>
      <c r="F16" s="1" t="s">
        <v>1083</v>
      </c>
      <c r="G16" s="1" t="s">
        <v>1153</v>
      </c>
      <c r="H16">
        <v>42</v>
      </c>
      <c r="I16" t="s">
        <v>1154</v>
      </c>
      <c r="J16">
        <v>131422</v>
      </c>
      <c r="K16">
        <v>0.15</v>
      </c>
      <c r="L16" s="1" t="s">
        <v>1085</v>
      </c>
      <c r="M16" s="1" t="s">
        <v>1116</v>
      </c>
      <c r="N16" t="s">
        <v>1241</v>
      </c>
    </row>
    <row r="17" spans="1:14">
      <c r="A17" s="1" t="s">
        <v>1155</v>
      </c>
      <c r="B17" s="1" t="s">
        <v>1156</v>
      </c>
      <c r="C17" s="1" t="s">
        <v>1104</v>
      </c>
      <c r="D17" s="1" t="s">
        <v>1097</v>
      </c>
      <c r="E17" s="1" t="s">
        <v>1091</v>
      </c>
      <c r="F17" s="1" t="s">
        <v>1105</v>
      </c>
      <c r="G17" s="1" t="s">
        <v>1084</v>
      </c>
      <c r="H17">
        <v>62</v>
      </c>
      <c r="I17" t="s">
        <v>1157</v>
      </c>
      <c r="J17">
        <v>64208</v>
      </c>
      <c r="K17">
        <v>0</v>
      </c>
      <c r="L17" s="1" t="s">
        <v>1085</v>
      </c>
      <c r="M17" s="1" t="s">
        <v>1137</v>
      </c>
      <c r="N17" t="s">
        <v>1241</v>
      </c>
    </row>
    <row r="18" spans="1:14">
      <c r="A18" s="1" t="s">
        <v>1158</v>
      </c>
      <c r="B18" s="1" t="s">
        <v>1159</v>
      </c>
      <c r="C18" s="1" t="s">
        <v>1160</v>
      </c>
      <c r="D18" s="1" t="s">
        <v>1081</v>
      </c>
      <c r="E18" s="1" t="s">
        <v>1121</v>
      </c>
      <c r="F18" s="1" t="s">
        <v>1105</v>
      </c>
      <c r="G18" s="1" t="s">
        <v>1084</v>
      </c>
      <c r="H18">
        <v>45</v>
      </c>
      <c r="I18">
        <v>40306</v>
      </c>
      <c r="J18">
        <v>254486</v>
      </c>
      <c r="K18">
        <v>0.33</v>
      </c>
      <c r="L18" s="1" t="s">
        <v>1100</v>
      </c>
      <c r="M18" s="1" t="s">
        <v>1129</v>
      </c>
      <c r="N18" t="s">
        <v>1241</v>
      </c>
    </row>
    <row r="19" spans="1:14">
      <c r="A19" s="1" t="s">
        <v>1161</v>
      </c>
      <c r="B19" s="1" t="s">
        <v>1162</v>
      </c>
      <c r="C19" s="1" t="s">
        <v>1089</v>
      </c>
      <c r="D19" s="1" t="s">
        <v>1090</v>
      </c>
      <c r="E19" s="1" t="s">
        <v>1121</v>
      </c>
      <c r="F19" s="1" t="s">
        <v>1105</v>
      </c>
      <c r="G19" s="1" t="s">
        <v>1084</v>
      </c>
      <c r="H19">
        <v>61</v>
      </c>
      <c r="I19">
        <v>43527</v>
      </c>
      <c r="J19">
        <v>54811</v>
      </c>
      <c r="K19">
        <v>0</v>
      </c>
      <c r="L19" s="1" t="s">
        <v>1100</v>
      </c>
      <c r="M19" s="1" t="s">
        <v>1123</v>
      </c>
      <c r="N19" t="s">
        <v>1241</v>
      </c>
    </row>
    <row r="20" spans="1:14">
      <c r="A20" s="1" t="s">
        <v>1163</v>
      </c>
      <c r="B20" s="1" t="s">
        <v>1164</v>
      </c>
      <c r="C20" s="1" t="s">
        <v>1165</v>
      </c>
      <c r="D20" s="1" t="s">
        <v>1097</v>
      </c>
      <c r="E20" s="1" t="s">
        <v>1121</v>
      </c>
      <c r="F20" s="1" t="s">
        <v>1083</v>
      </c>
      <c r="G20" s="1" t="s">
        <v>1084</v>
      </c>
      <c r="H20">
        <v>29</v>
      </c>
      <c r="I20">
        <v>43050</v>
      </c>
      <c r="J20">
        <v>95729</v>
      </c>
      <c r="K20">
        <v>0</v>
      </c>
      <c r="L20" s="1" t="s">
        <v>1085</v>
      </c>
      <c r="M20" s="1" t="s">
        <v>1107</v>
      </c>
      <c r="N20" t="s">
        <v>1241</v>
      </c>
    </row>
    <row r="21" spans="1:14">
      <c r="A21" s="1" t="s">
        <v>1166</v>
      </c>
      <c r="B21" s="1" t="s">
        <v>1167</v>
      </c>
      <c r="C21" s="1" t="s">
        <v>1136</v>
      </c>
      <c r="D21" s="1" t="s">
        <v>1120</v>
      </c>
      <c r="E21" s="1" t="s">
        <v>1121</v>
      </c>
      <c r="F21" s="1" t="s">
        <v>1105</v>
      </c>
      <c r="G21" s="1" t="s">
        <v>1106</v>
      </c>
      <c r="H21">
        <v>63</v>
      </c>
      <c r="I21">
        <v>40027</v>
      </c>
      <c r="J21">
        <v>102649</v>
      </c>
      <c r="K21">
        <v>0.06</v>
      </c>
      <c r="L21" s="1" t="s">
        <v>1085</v>
      </c>
      <c r="M21" s="1" t="s">
        <v>1112</v>
      </c>
      <c r="N21" t="s">
        <v>1241</v>
      </c>
    </row>
    <row r="22" spans="1:14">
      <c r="A22" s="1" t="s">
        <v>1168</v>
      </c>
      <c r="B22" s="1" t="s">
        <v>1169</v>
      </c>
      <c r="C22" s="1" t="s">
        <v>1152</v>
      </c>
      <c r="D22" s="1" t="s">
        <v>1120</v>
      </c>
      <c r="E22" s="1" t="s">
        <v>1121</v>
      </c>
      <c r="F22" s="1" t="s">
        <v>1083</v>
      </c>
      <c r="G22" s="1" t="s">
        <v>1084</v>
      </c>
      <c r="H22">
        <v>45</v>
      </c>
      <c r="I22" t="s">
        <v>1170</v>
      </c>
      <c r="J22">
        <v>122875</v>
      </c>
      <c r="K22">
        <v>0.12</v>
      </c>
      <c r="L22" s="1" t="s">
        <v>1085</v>
      </c>
      <c r="M22" s="1" t="s">
        <v>1093</v>
      </c>
      <c r="N22" t="s">
        <v>1241</v>
      </c>
    </row>
    <row r="23" spans="1:14">
      <c r="A23" s="1" t="s">
        <v>1171</v>
      </c>
      <c r="B23" s="1" t="s">
        <v>1172</v>
      </c>
      <c r="C23" s="1" t="s">
        <v>1173</v>
      </c>
      <c r="D23" s="1" t="s">
        <v>1097</v>
      </c>
      <c r="E23" s="1" t="s">
        <v>1098</v>
      </c>
      <c r="F23" s="1" t="s">
        <v>1105</v>
      </c>
      <c r="G23" s="1" t="s">
        <v>1153</v>
      </c>
      <c r="H23">
        <v>43</v>
      </c>
      <c r="I23" t="s">
        <v>1174</v>
      </c>
      <c r="J23">
        <v>83323</v>
      </c>
      <c r="K23">
        <v>0</v>
      </c>
      <c r="L23" s="1" t="s">
        <v>1085</v>
      </c>
      <c r="M23" s="1" t="s">
        <v>1116</v>
      </c>
      <c r="N23" t="s">
        <v>1243</v>
      </c>
    </row>
    <row r="24" spans="1:14">
      <c r="A24" s="1" t="s">
        <v>1175</v>
      </c>
      <c r="B24" s="1" t="s">
        <v>1176</v>
      </c>
      <c r="C24" s="1" t="s">
        <v>1177</v>
      </c>
      <c r="D24" s="1" t="s">
        <v>1090</v>
      </c>
      <c r="E24" s="1" t="s">
        <v>1082</v>
      </c>
      <c r="F24" s="1" t="s">
        <v>1105</v>
      </c>
      <c r="G24" s="1" t="s">
        <v>1084</v>
      </c>
      <c r="H24">
        <v>31</v>
      </c>
      <c r="I24" t="s">
        <v>1178</v>
      </c>
      <c r="J24">
        <v>66721</v>
      </c>
      <c r="K24">
        <v>0</v>
      </c>
      <c r="L24" s="1" t="s">
        <v>1100</v>
      </c>
      <c r="M24" s="1" t="s">
        <v>1101</v>
      </c>
      <c r="N24" t="s">
        <v>1241</v>
      </c>
    </row>
    <row r="25" spans="1:14">
      <c r="A25" s="1" t="s">
        <v>1179</v>
      </c>
      <c r="B25" s="1" t="s">
        <v>1180</v>
      </c>
      <c r="C25" s="1" t="s">
        <v>1160</v>
      </c>
      <c r="D25" s="1" t="s">
        <v>1120</v>
      </c>
      <c r="E25" s="1" t="s">
        <v>1121</v>
      </c>
      <c r="F25" s="1" t="s">
        <v>1083</v>
      </c>
      <c r="G25" s="1" t="s">
        <v>1084</v>
      </c>
      <c r="H25">
        <v>48</v>
      </c>
      <c r="I25" t="s">
        <v>1181</v>
      </c>
      <c r="J25">
        <v>246400</v>
      </c>
      <c r="K25">
        <v>0.36</v>
      </c>
      <c r="L25" s="1" t="s">
        <v>1100</v>
      </c>
      <c r="M25" s="1" t="s">
        <v>1123</v>
      </c>
      <c r="N25" t="s">
        <v>1241</v>
      </c>
    </row>
    <row r="26" spans="1:14">
      <c r="A26" s="1" t="s">
        <v>1182</v>
      </c>
      <c r="B26" s="1" t="s">
        <v>1183</v>
      </c>
      <c r="C26" s="1" t="s">
        <v>1136</v>
      </c>
      <c r="D26" s="1" t="s">
        <v>1090</v>
      </c>
      <c r="E26" s="1" t="s">
        <v>1121</v>
      </c>
      <c r="F26" s="1" t="s">
        <v>1083</v>
      </c>
      <c r="G26" s="1" t="s">
        <v>1133</v>
      </c>
      <c r="H26">
        <v>55</v>
      </c>
      <c r="I26" t="s">
        <v>1184</v>
      </c>
      <c r="J26">
        <v>113525</v>
      </c>
      <c r="K26">
        <v>0.06</v>
      </c>
      <c r="L26" s="1" t="s">
        <v>1085</v>
      </c>
      <c r="M26" s="1" t="s">
        <v>1137</v>
      </c>
      <c r="N26" t="s">
        <v>1241</v>
      </c>
    </row>
    <row r="27" spans="1:14">
      <c r="A27" s="1" t="s">
        <v>1185</v>
      </c>
      <c r="B27" s="1" t="s">
        <v>1186</v>
      </c>
      <c r="C27" s="1" t="s">
        <v>1110</v>
      </c>
      <c r="D27" s="1" t="s">
        <v>1120</v>
      </c>
      <c r="E27" s="1" t="s">
        <v>1082</v>
      </c>
      <c r="F27" s="1" t="s">
        <v>1083</v>
      </c>
      <c r="G27" s="1" t="s">
        <v>1084</v>
      </c>
      <c r="H27">
        <v>64</v>
      </c>
      <c r="I27" t="s">
        <v>1187</v>
      </c>
      <c r="J27">
        <v>184342</v>
      </c>
      <c r="K27">
        <v>0.22</v>
      </c>
      <c r="L27" s="1" t="s">
        <v>1100</v>
      </c>
      <c r="M27" s="1" t="s">
        <v>1188</v>
      </c>
      <c r="N27" t="s">
        <v>1241</v>
      </c>
    </row>
    <row r="28" spans="1:14">
      <c r="A28" s="1" t="s">
        <v>1189</v>
      </c>
      <c r="B28" s="1" t="s">
        <v>1190</v>
      </c>
      <c r="C28" s="1" t="s">
        <v>1110</v>
      </c>
      <c r="D28" s="1" t="s">
        <v>1148</v>
      </c>
      <c r="E28" s="1" t="s">
        <v>1121</v>
      </c>
      <c r="F28" s="1" t="s">
        <v>1083</v>
      </c>
      <c r="G28" s="1" t="s">
        <v>1133</v>
      </c>
      <c r="H28">
        <v>58</v>
      </c>
      <c r="I28" t="s">
        <v>1191</v>
      </c>
      <c r="J28">
        <v>151341</v>
      </c>
      <c r="K28">
        <v>0.22</v>
      </c>
      <c r="L28" s="1" t="s">
        <v>1085</v>
      </c>
      <c r="M28" s="1" t="s">
        <v>1107</v>
      </c>
      <c r="N28" t="s">
        <v>1241</v>
      </c>
    </row>
    <row r="29" spans="1:14">
      <c r="A29" s="1" t="s">
        <v>1192</v>
      </c>
      <c r="B29" s="1" t="s">
        <v>1193</v>
      </c>
      <c r="C29" s="1" t="s">
        <v>1136</v>
      </c>
      <c r="D29" s="1" t="s">
        <v>1148</v>
      </c>
      <c r="E29" s="1" t="s">
        <v>1082</v>
      </c>
      <c r="F29" s="1" t="s">
        <v>1105</v>
      </c>
      <c r="G29" s="1" t="s">
        <v>1133</v>
      </c>
      <c r="H29">
        <v>50</v>
      </c>
      <c r="I29">
        <v>38299</v>
      </c>
      <c r="J29">
        <v>118900</v>
      </c>
      <c r="K29">
        <v>0.05</v>
      </c>
      <c r="L29" s="1" t="s">
        <v>1085</v>
      </c>
      <c r="M29" s="1" t="s">
        <v>1107</v>
      </c>
      <c r="N29" t="s">
        <v>1241</v>
      </c>
    </row>
    <row r="30" spans="1:14">
      <c r="A30" s="1" t="s">
        <v>1194</v>
      </c>
      <c r="B30" s="1" t="s">
        <v>1195</v>
      </c>
      <c r="C30" s="1" t="s">
        <v>1152</v>
      </c>
      <c r="D30" s="1" t="s">
        <v>1148</v>
      </c>
      <c r="E30" s="1" t="s">
        <v>1091</v>
      </c>
      <c r="F30" s="1" t="s">
        <v>1105</v>
      </c>
      <c r="G30" s="1" t="s">
        <v>1153</v>
      </c>
      <c r="H30">
        <v>41</v>
      </c>
      <c r="I30" t="s">
        <v>1196</v>
      </c>
      <c r="J30">
        <v>153370</v>
      </c>
      <c r="K30">
        <v>0.1</v>
      </c>
      <c r="L30" s="1" t="s">
        <v>1085</v>
      </c>
      <c r="M30" s="1" t="s">
        <v>1093</v>
      </c>
      <c r="N30" t="s">
        <v>1241</v>
      </c>
    </row>
    <row r="31" spans="1:14">
      <c r="A31" s="1" t="s">
        <v>1197</v>
      </c>
      <c r="B31" s="1" t="s">
        <v>1198</v>
      </c>
      <c r="C31" s="1" t="s">
        <v>1132</v>
      </c>
      <c r="D31" s="1" t="s">
        <v>1097</v>
      </c>
      <c r="E31" s="1" t="s">
        <v>1121</v>
      </c>
      <c r="F31" s="1" t="s">
        <v>1083</v>
      </c>
      <c r="G31" s="1" t="s">
        <v>1084</v>
      </c>
      <c r="H31">
        <v>50</v>
      </c>
      <c r="I31" t="s">
        <v>1199</v>
      </c>
      <c r="J31">
        <v>72860</v>
      </c>
      <c r="K31">
        <v>0</v>
      </c>
      <c r="L31" s="1" t="s">
        <v>1100</v>
      </c>
      <c r="M31" s="1" t="s">
        <v>1101</v>
      </c>
      <c r="N31" t="s">
        <v>1241</v>
      </c>
    </row>
    <row r="32" spans="1:14">
      <c r="A32" s="1" t="s">
        <v>1200</v>
      </c>
      <c r="B32" s="1" t="s">
        <v>1201</v>
      </c>
      <c r="C32" s="1" t="s">
        <v>1160</v>
      </c>
      <c r="D32" s="1" t="s">
        <v>1127</v>
      </c>
      <c r="E32" s="1" t="s">
        <v>1098</v>
      </c>
      <c r="F32" s="1" t="s">
        <v>1105</v>
      </c>
      <c r="G32" s="1" t="s">
        <v>1133</v>
      </c>
      <c r="H32">
        <v>59</v>
      </c>
      <c r="I32" t="s">
        <v>1202</v>
      </c>
      <c r="J32">
        <v>255610</v>
      </c>
      <c r="K32">
        <v>0.36</v>
      </c>
      <c r="L32" s="1" t="s">
        <v>1085</v>
      </c>
      <c r="M32" s="1" t="s">
        <v>1116</v>
      </c>
      <c r="N32" t="s">
        <v>1241</v>
      </c>
    </row>
    <row r="33" spans="1:14">
      <c r="A33" s="1" t="s">
        <v>1203</v>
      </c>
      <c r="B33" s="1" t="s">
        <v>1204</v>
      </c>
      <c r="C33" s="1" t="s">
        <v>1119</v>
      </c>
      <c r="D33" s="1" t="s">
        <v>1090</v>
      </c>
      <c r="E33" s="1" t="s">
        <v>1091</v>
      </c>
      <c r="F33" s="1" t="s">
        <v>1083</v>
      </c>
      <c r="G33" s="1" t="s">
        <v>1084</v>
      </c>
      <c r="H33">
        <v>26</v>
      </c>
      <c r="I33" t="s">
        <v>1205</v>
      </c>
      <c r="J33">
        <v>84962</v>
      </c>
      <c r="K33">
        <v>0</v>
      </c>
      <c r="L33" s="1" t="s">
        <v>1100</v>
      </c>
      <c r="M33" s="1" t="s">
        <v>1129</v>
      </c>
      <c r="N33" t="s">
        <v>1241</v>
      </c>
    </row>
    <row r="34" spans="1:14">
      <c r="A34" s="1" t="s">
        <v>1206</v>
      </c>
      <c r="B34" s="1" t="s">
        <v>1207</v>
      </c>
      <c r="C34" s="1" t="s">
        <v>1136</v>
      </c>
      <c r="D34" s="1" t="s">
        <v>1208</v>
      </c>
      <c r="E34" s="1" t="s">
        <v>1121</v>
      </c>
      <c r="F34" s="1" t="s">
        <v>1083</v>
      </c>
      <c r="G34" s="1" t="s">
        <v>1106</v>
      </c>
      <c r="H34">
        <v>55</v>
      </c>
      <c r="I34">
        <v>42837</v>
      </c>
      <c r="J34">
        <v>103795</v>
      </c>
      <c r="K34">
        <v>7.0000000000000007E-2</v>
      </c>
      <c r="L34" s="1" t="s">
        <v>1085</v>
      </c>
      <c r="M34" s="1" t="s">
        <v>1107</v>
      </c>
      <c r="N34" t="s">
        <v>1241</v>
      </c>
    </row>
    <row r="35" spans="1:14">
      <c r="A35" s="1" t="s">
        <v>1209</v>
      </c>
      <c r="B35" s="1" t="s">
        <v>1210</v>
      </c>
      <c r="C35" s="1" t="s">
        <v>1165</v>
      </c>
      <c r="D35" s="1" t="s">
        <v>1097</v>
      </c>
      <c r="E35" s="1" t="s">
        <v>1091</v>
      </c>
      <c r="F35" s="1" t="s">
        <v>1105</v>
      </c>
      <c r="G35" s="1" t="s">
        <v>1084</v>
      </c>
      <c r="H35">
        <v>32</v>
      </c>
      <c r="I35">
        <v>43405</v>
      </c>
      <c r="J35">
        <v>97509</v>
      </c>
      <c r="K35">
        <v>0</v>
      </c>
      <c r="L35" s="1" t="s">
        <v>1100</v>
      </c>
      <c r="M35" s="1" t="s">
        <v>1101</v>
      </c>
      <c r="N35" t="s">
        <v>1241</v>
      </c>
    </row>
    <row r="36" spans="1:14">
      <c r="A36" s="1" t="s">
        <v>1211</v>
      </c>
      <c r="B36" s="1" t="s">
        <v>1212</v>
      </c>
      <c r="C36" s="1" t="s">
        <v>1213</v>
      </c>
      <c r="D36" s="1" t="s">
        <v>1208</v>
      </c>
      <c r="E36" s="1" t="s">
        <v>1121</v>
      </c>
      <c r="F36" s="1" t="s">
        <v>1083</v>
      </c>
      <c r="G36" s="1" t="s">
        <v>1133</v>
      </c>
      <c r="H36">
        <v>50</v>
      </c>
      <c r="I36">
        <v>44751</v>
      </c>
      <c r="J36">
        <v>54931</v>
      </c>
      <c r="K36">
        <v>0</v>
      </c>
      <c r="L36" s="1" t="s">
        <v>1085</v>
      </c>
      <c r="M36" s="1" t="s">
        <v>1112</v>
      </c>
      <c r="N36" t="s">
        <v>1241</v>
      </c>
    </row>
    <row r="37" spans="1:14">
      <c r="A37" s="1" t="s">
        <v>1214</v>
      </c>
      <c r="B37" s="1" t="s">
        <v>1215</v>
      </c>
      <c r="C37" s="1" t="s">
        <v>1216</v>
      </c>
      <c r="D37" s="1" t="s">
        <v>1081</v>
      </c>
      <c r="E37" s="1" t="s">
        <v>1121</v>
      </c>
      <c r="F37" s="1" t="s">
        <v>1083</v>
      </c>
      <c r="G37" s="1" t="s">
        <v>1106</v>
      </c>
      <c r="H37">
        <v>54</v>
      </c>
      <c r="I37" t="s">
        <v>1217</v>
      </c>
      <c r="J37">
        <v>88689</v>
      </c>
      <c r="K37">
        <v>0</v>
      </c>
      <c r="L37" s="1" t="s">
        <v>1085</v>
      </c>
      <c r="M37" s="1" t="s">
        <v>1116</v>
      </c>
      <c r="N37" t="s">
        <v>1241</v>
      </c>
    </row>
    <row r="38" spans="1:14">
      <c r="A38" s="1" t="s">
        <v>1218</v>
      </c>
      <c r="B38" s="1" t="s">
        <v>1219</v>
      </c>
      <c r="C38" s="1" t="s">
        <v>1152</v>
      </c>
      <c r="D38" s="1" t="s">
        <v>1120</v>
      </c>
      <c r="E38" s="1" t="s">
        <v>1091</v>
      </c>
      <c r="F38" s="1" t="s">
        <v>1105</v>
      </c>
      <c r="G38" s="1" t="s">
        <v>1106</v>
      </c>
      <c r="H38">
        <v>31</v>
      </c>
      <c r="I38" t="s">
        <v>1220</v>
      </c>
      <c r="J38">
        <v>158184</v>
      </c>
      <c r="K38">
        <v>0.15</v>
      </c>
      <c r="L38" s="1" t="s">
        <v>1221</v>
      </c>
      <c r="M38" s="1" t="s">
        <v>1222</v>
      </c>
      <c r="N38" t="s">
        <v>1244</v>
      </c>
    </row>
    <row r="39" spans="1:14">
      <c r="A39" s="1" t="s">
        <v>1245</v>
      </c>
      <c r="B39" s="1" t="s">
        <v>1246</v>
      </c>
      <c r="C39" s="1" t="s">
        <v>1089</v>
      </c>
      <c r="D39" s="1" t="s">
        <v>1148</v>
      </c>
      <c r="E39" s="1" t="s">
        <v>1098</v>
      </c>
      <c r="F39" s="1" t="s">
        <v>1083</v>
      </c>
      <c r="G39" s="1" t="s">
        <v>1133</v>
      </c>
      <c r="H39">
        <v>47</v>
      </c>
      <c r="I39">
        <v>42645</v>
      </c>
      <c r="J39">
        <v>48523</v>
      </c>
      <c r="K39">
        <v>0</v>
      </c>
      <c r="L39" s="1" t="s">
        <v>1085</v>
      </c>
      <c r="M39" s="1" t="s">
        <v>1112</v>
      </c>
      <c r="N39" t="s">
        <v>1241</v>
      </c>
    </row>
    <row r="40" spans="1:14">
      <c r="A40" s="1" t="s">
        <v>1247</v>
      </c>
      <c r="B40" s="1" t="s">
        <v>1248</v>
      </c>
      <c r="C40" s="1" t="s">
        <v>1119</v>
      </c>
      <c r="D40" s="1" t="s">
        <v>1148</v>
      </c>
      <c r="E40" s="1" t="s">
        <v>1121</v>
      </c>
      <c r="F40" s="1" t="s">
        <v>1083</v>
      </c>
      <c r="G40" s="1" t="s">
        <v>1084</v>
      </c>
      <c r="H40">
        <v>26</v>
      </c>
      <c r="I40">
        <v>44683</v>
      </c>
      <c r="J40">
        <v>70946</v>
      </c>
      <c r="K40">
        <v>0</v>
      </c>
      <c r="L40" s="1" t="s">
        <v>1100</v>
      </c>
      <c r="M40" s="1" t="s">
        <v>1101</v>
      </c>
      <c r="N40" t="s">
        <v>1241</v>
      </c>
    </row>
    <row r="41" spans="1:14">
      <c r="A41" s="1" t="s">
        <v>1249</v>
      </c>
      <c r="B41" s="1" t="s">
        <v>1250</v>
      </c>
      <c r="C41" s="1" t="s">
        <v>1152</v>
      </c>
      <c r="D41" s="1" t="s">
        <v>1127</v>
      </c>
      <c r="E41" s="1" t="s">
        <v>1121</v>
      </c>
      <c r="F41" s="1" t="s">
        <v>1105</v>
      </c>
      <c r="G41" s="1" t="s">
        <v>1084</v>
      </c>
      <c r="H41">
        <v>62</v>
      </c>
      <c r="I41" t="s">
        <v>1251</v>
      </c>
      <c r="J41">
        <v>134487</v>
      </c>
      <c r="K41">
        <v>0.1</v>
      </c>
      <c r="L41" s="1" t="s">
        <v>1085</v>
      </c>
      <c r="M41" s="1" t="s">
        <v>1107</v>
      </c>
      <c r="N41" t="s">
        <v>1241</v>
      </c>
    </row>
    <row r="42" spans="1:14">
      <c r="A42" s="1" t="s">
        <v>1252</v>
      </c>
      <c r="B42" s="1" t="s">
        <v>1253</v>
      </c>
      <c r="C42" s="1" t="s">
        <v>1119</v>
      </c>
      <c r="D42" s="1" t="s">
        <v>1127</v>
      </c>
      <c r="E42" s="1" t="s">
        <v>1098</v>
      </c>
      <c r="F42" s="1" t="s">
        <v>1105</v>
      </c>
      <c r="G42" s="1" t="s">
        <v>1106</v>
      </c>
      <c r="H42">
        <v>35</v>
      </c>
      <c r="I42">
        <v>41064</v>
      </c>
      <c r="J42">
        <v>76111</v>
      </c>
      <c r="K42">
        <v>0</v>
      </c>
      <c r="L42" s="1" t="s">
        <v>1085</v>
      </c>
      <c r="M42" s="1" t="s">
        <v>1093</v>
      </c>
      <c r="N42" t="s">
        <v>1241</v>
      </c>
    </row>
    <row r="43" spans="1:14">
      <c r="A43" s="1" t="s">
        <v>1254</v>
      </c>
      <c r="B43" s="1" t="s">
        <v>1255</v>
      </c>
      <c r="C43" s="1" t="s">
        <v>1136</v>
      </c>
      <c r="D43" s="1" t="s">
        <v>1120</v>
      </c>
      <c r="E43" s="1" t="s">
        <v>1098</v>
      </c>
      <c r="F43" s="1" t="s">
        <v>1105</v>
      </c>
      <c r="G43" s="1" t="s">
        <v>1133</v>
      </c>
      <c r="H43">
        <v>48</v>
      </c>
      <c r="I43" t="s">
        <v>1256</v>
      </c>
      <c r="J43">
        <v>119220</v>
      </c>
      <c r="K43">
        <v>0.09</v>
      </c>
      <c r="L43" s="1" t="s">
        <v>1085</v>
      </c>
      <c r="M43" s="1" t="s">
        <v>1086</v>
      </c>
      <c r="N43">
        <v>42411</v>
      </c>
    </row>
    <row r="44" spans="1:14">
      <c r="A44" s="1" t="s">
        <v>1257</v>
      </c>
      <c r="B44" s="1" t="s">
        <v>1258</v>
      </c>
      <c r="C44" s="1" t="s">
        <v>1160</v>
      </c>
      <c r="D44" s="1" t="s">
        <v>1120</v>
      </c>
      <c r="E44" s="1" t="s">
        <v>1082</v>
      </c>
      <c r="F44" s="1" t="s">
        <v>1083</v>
      </c>
      <c r="G44" s="1" t="s">
        <v>1084</v>
      </c>
      <c r="H44">
        <v>35</v>
      </c>
      <c r="I44">
        <v>44504</v>
      </c>
      <c r="J44">
        <v>180858</v>
      </c>
      <c r="K44">
        <v>0.32</v>
      </c>
      <c r="L44" s="1" t="s">
        <v>1100</v>
      </c>
      <c r="M44" s="1" t="s">
        <v>1123</v>
      </c>
      <c r="N44" t="s">
        <v>1241</v>
      </c>
    </row>
    <row r="45" spans="1:14">
      <c r="A45" s="1" t="s">
        <v>1259</v>
      </c>
      <c r="B45" s="1" t="s">
        <v>1260</v>
      </c>
      <c r="C45" s="1" t="s">
        <v>1136</v>
      </c>
      <c r="D45" s="1" t="s">
        <v>1120</v>
      </c>
      <c r="E45" s="1" t="s">
        <v>1121</v>
      </c>
      <c r="F45" s="1" t="s">
        <v>1105</v>
      </c>
      <c r="G45" s="1" t="s">
        <v>1084</v>
      </c>
      <c r="H45">
        <v>45</v>
      </c>
      <c r="I45">
        <v>38636</v>
      </c>
      <c r="J45">
        <v>114072</v>
      </c>
      <c r="K45">
        <v>0.08</v>
      </c>
      <c r="L45" s="1" t="s">
        <v>1085</v>
      </c>
      <c r="M45" s="1" t="s">
        <v>1116</v>
      </c>
      <c r="N45" t="s">
        <v>1241</v>
      </c>
    </row>
    <row r="46" spans="1:14">
      <c r="A46" s="1" t="s">
        <v>1261</v>
      </c>
      <c r="B46" s="1" t="s">
        <v>1262</v>
      </c>
      <c r="C46" s="1" t="s">
        <v>1216</v>
      </c>
      <c r="D46" s="1" t="s">
        <v>1081</v>
      </c>
      <c r="E46" s="1" t="s">
        <v>1098</v>
      </c>
      <c r="F46" s="1" t="s">
        <v>1105</v>
      </c>
      <c r="G46" s="1" t="s">
        <v>1084</v>
      </c>
      <c r="H46">
        <v>26</v>
      </c>
      <c r="I46" t="s">
        <v>1263</v>
      </c>
      <c r="J46">
        <v>91672</v>
      </c>
      <c r="K46">
        <v>0</v>
      </c>
      <c r="L46" s="1" t="s">
        <v>1100</v>
      </c>
      <c r="M46" s="1" t="s">
        <v>1188</v>
      </c>
      <c r="N46" t="s">
        <v>1241</v>
      </c>
    </row>
    <row r="47" spans="1:14">
      <c r="A47" s="1" t="s">
        <v>1264</v>
      </c>
      <c r="B47" s="1" t="s">
        <v>1265</v>
      </c>
      <c r="C47" s="1" t="s">
        <v>1126</v>
      </c>
      <c r="D47" s="1" t="s">
        <v>1148</v>
      </c>
      <c r="E47" s="1" t="s">
        <v>1091</v>
      </c>
      <c r="F47" s="1" t="s">
        <v>1105</v>
      </c>
      <c r="G47" s="1" t="s">
        <v>1106</v>
      </c>
      <c r="H47">
        <v>48</v>
      </c>
      <c r="I47" t="s">
        <v>1266</v>
      </c>
      <c r="J47">
        <v>71542</v>
      </c>
      <c r="K47">
        <v>0</v>
      </c>
      <c r="L47" s="1" t="s">
        <v>1085</v>
      </c>
      <c r="M47" s="1" t="s">
        <v>1093</v>
      </c>
      <c r="N47" t="s">
        <v>1241</v>
      </c>
    </row>
    <row r="48" spans="1:14">
      <c r="A48" s="1" t="s">
        <v>1267</v>
      </c>
      <c r="B48" s="1" t="s">
        <v>1268</v>
      </c>
      <c r="C48" s="1" t="s">
        <v>1269</v>
      </c>
      <c r="D48" s="1" t="s">
        <v>1097</v>
      </c>
      <c r="E48" s="1" t="s">
        <v>1121</v>
      </c>
      <c r="F48" s="1" t="s">
        <v>1083</v>
      </c>
      <c r="G48" s="1" t="s">
        <v>1133</v>
      </c>
      <c r="H48">
        <v>33</v>
      </c>
      <c r="I48" t="s">
        <v>1270</v>
      </c>
      <c r="J48">
        <v>54700</v>
      </c>
      <c r="K48">
        <v>0</v>
      </c>
      <c r="L48" s="1" t="s">
        <v>1085</v>
      </c>
      <c r="M48" s="1" t="s">
        <v>1137</v>
      </c>
      <c r="N48" t="s">
        <v>1241</v>
      </c>
    </row>
    <row r="49" spans="1:14">
      <c r="A49" s="1" t="s">
        <v>1271</v>
      </c>
      <c r="B49" s="1" t="s">
        <v>1272</v>
      </c>
      <c r="C49" s="1" t="s">
        <v>1126</v>
      </c>
      <c r="D49" s="1" t="s">
        <v>1090</v>
      </c>
      <c r="E49" s="1" t="s">
        <v>1091</v>
      </c>
      <c r="F49" s="1" t="s">
        <v>1083</v>
      </c>
      <c r="G49" s="1" t="s">
        <v>1084</v>
      </c>
      <c r="H49">
        <v>55</v>
      </c>
      <c r="I49">
        <v>40760</v>
      </c>
      <c r="J49">
        <v>65022</v>
      </c>
      <c r="K49">
        <v>0</v>
      </c>
      <c r="L49" s="1" t="s">
        <v>1100</v>
      </c>
      <c r="M49" s="1" t="s">
        <v>1123</v>
      </c>
      <c r="N49" t="s">
        <v>1241</v>
      </c>
    </row>
    <row r="50" spans="1:14">
      <c r="A50" s="1" t="s">
        <v>1273</v>
      </c>
      <c r="B50" s="1" t="s">
        <v>1274</v>
      </c>
      <c r="C50" s="1" t="s">
        <v>1275</v>
      </c>
      <c r="D50" s="1" t="s">
        <v>1097</v>
      </c>
      <c r="E50" s="1" t="s">
        <v>1098</v>
      </c>
      <c r="F50" s="1" t="s">
        <v>1083</v>
      </c>
      <c r="G50" s="1" t="s">
        <v>1084</v>
      </c>
      <c r="H50">
        <v>38</v>
      </c>
      <c r="I50">
        <v>40881</v>
      </c>
      <c r="J50">
        <v>65109</v>
      </c>
      <c r="K50">
        <v>0</v>
      </c>
      <c r="L50" s="1" t="s">
        <v>1085</v>
      </c>
      <c r="M50" s="1" t="s">
        <v>1116</v>
      </c>
      <c r="N50" t="s">
        <v>1241</v>
      </c>
    </row>
    <row r="51" spans="1:14">
      <c r="A51" s="1" t="s">
        <v>1276</v>
      </c>
      <c r="B51" s="1" t="s">
        <v>1277</v>
      </c>
      <c r="C51" s="1" t="s">
        <v>1136</v>
      </c>
      <c r="D51" s="1" t="s">
        <v>1120</v>
      </c>
      <c r="E51" s="1" t="s">
        <v>1121</v>
      </c>
      <c r="F51" s="1" t="s">
        <v>1105</v>
      </c>
      <c r="G51" s="1" t="s">
        <v>1084</v>
      </c>
      <c r="H51">
        <v>49</v>
      </c>
      <c r="I51">
        <v>44562</v>
      </c>
      <c r="J51">
        <v>126598</v>
      </c>
      <c r="K51">
        <v>0.09</v>
      </c>
      <c r="L51" s="1" t="s">
        <v>1085</v>
      </c>
      <c r="M51" s="1" t="s">
        <v>1137</v>
      </c>
      <c r="N51" t="s">
        <v>1241</v>
      </c>
    </row>
    <row r="52" spans="1:14">
      <c r="A52" s="1" t="s">
        <v>1278</v>
      </c>
      <c r="B52" s="1" t="s">
        <v>1279</v>
      </c>
      <c r="C52" s="1" t="s">
        <v>1275</v>
      </c>
      <c r="D52" s="1" t="s">
        <v>1097</v>
      </c>
      <c r="E52" s="1" t="s">
        <v>1091</v>
      </c>
      <c r="F52" s="1" t="s">
        <v>1105</v>
      </c>
      <c r="G52" s="1" t="s">
        <v>1106</v>
      </c>
      <c r="H52">
        <v>52</v>
      </c>
      <c r="I52">
        <v>43287</v>
      </c>
      <c r="J52">
        <v>72388</v>
      </c>
      <c r="K52">
        <v>0</v>
      </c>
      <c r="L52" s="1" t="s">
        <v>1085</v>
      </c>
      <c r="M52" s="1" t="s">
        <v>1137</v>
      </c>
      <c r="N52" t="s">
        <v>1241</v>
      </c>
    </row>
    <row r="53" spans="1:14">
      <c r="A53" s="1" t="s">
        <v>1280</v>
      </c>
      <c r="B53" s="1" t="s">
        <v>1281</v>
      </c>
      <c r="C53" s="1" t="s">
        <v>1160</v>
      </c>
      <c r="D53" s="1" t="s">
        <v>1127</v>
      </c>
      <c r="E53" s="1" t="s">
        <v>1091</v>
      </c>
      <c r="F53" s="1" t="s">
        <v>1083</v>
      </c>
      <c r="G53" s="1" t="s">
        <v>1084</v>
      </c>
      <c r="H53">
        <v>27</v>
      </c>
      <c r="I53" t="s">
        <v>1282</v>
      </c>
      <c r="J53">
        <v>205216</v>
      </c>
      <c r="K53">
        <v>0.36</v>
      </c>
      <c r="L53" s="1" t="s">
        <v>1085</v>
      </c>
      <c r="M53" s="1" t="s">
        <v>1093</v>
      </c>
      <c r="N53" t="s">
        <v>1241</v>
      </c>
    </row>
    <row r="54" spans="1:14">
      <c r="A54" s="1" t="s">
        <v>1283</v>
      </c>
      <c r="B54" s="1" t="s">
        <v>1284</v>
      </c>
      <c r="C54" s="1" t="s">
        <v>1285</v>
      </c>
      <c r="D54" s="1" t="s">
        <v>1097</v>
      </c>
      <c r="E54" s="1" t="s">
        <v>1121</v>
      </c>
      <c r="F54" s="1" t="s">
        <v>1083</v>
      </c>
      <c r="G54" s="1" t="s">
        <v>1133</v>
      </c>
      <c r="H54">
        <v>34</v>
      </c>
      <c r="I54" t="s">
        <v>1286</v>
      </c>
      <c r="J54">
        <v>74004</v>
      </c>
      <c r="K54">
        <v>0</v>
      </c>
      <c r="L54" s="1" t="s">
        <v>1085</v>
      </c>
      <c r="M54" s="1" t="s">
        <v>1086</v>
      </c>
      <c r="N54" t="s">
        <v>1241</v>
      </c>
    </row>
    <row r="55" spans="1:14">
      <c r="A55" s="1" t="s">
        <v>1287</v>
      </c>
      <c r="B55" s="1" t="s">
        <v>1288</v>
      </c>
      <c r="C55" s="1" t="s">
        <v>1160</v>
      </c>
      <c r="D55" s="1" t="s">
        <v>1081</v>
      </c>
      <c r="E55" s="1" t="s">
        <v>1091</v>
      </c>
      <c r="F55" s="1" t="s">
        <v>1105</v>
      </c>
      <c r="G55" s="1" t="s">
        <v>1133</v>
      </c>
      <c r="H55">
        <v>65</v>
      </c>
      <c r="I55" t="s">
        <v>1289</v>
      </c>
      <c r="J55">
        <v>203030</v>
      </c>
      <c r="K55">
        <v>0.31</v>
      </c>
      <c r="L55" s="1" t="s">
        <v>1085</v>
      </c>
      <c r="M55" s="1" t="s">
        <v>1093</v>
      </c>
      <c r="N55" t="s">
        <v>1241</v>
      </c>
    </row>
    <row r="56" spans="1:14">
      <c r="A56" s="1" t="s">
        <v>1290</v>
      </c>
      <c r="B56" s="1" t="s">
        <v>1291</v>
      </c>
      <c r="C56" s="1" t="s">
        <v>1110</v>
      </c>
      <c r="D56" s="1" t="s">
        <v>1090</v>
      </c>
      <c r="E56" s="1" t="s">
        <v>1121</v>
      </c>
      <c r="F56" s="1" t="s">
        <v>1105</v>
      </c>
      <c r="G56" s="1" t="s">
        <v>1106</v>
      </c>
      <c r="H56">
        <v>38</v>
      </c>
      <c r="I56">
        <v>42648</v>
      </c>
      <c r="J56">
        <v>194864</v>
      </c>
      <c r="K56">
        <v>0.24</v>
      </c>
      <c r="L56" s="1" t="s">
        <v>1085</v>
      </c>
      <c r="M56" s="1" t="s">
        <v>1112</v>
      </c>
      <c r="N56" t="s">
        <v>1241</v>
      </c>
    </row>
    <row r="57" spans="1:14">
      <c r="A57" s="1" t="s">
        <v>1292</v>
      </c>
      <c r="B57" s="1" t="s">
        <v>1293</v>
      </c>
      <c r="C57" s="1" t="s">
        <v>1294</v>
      </c>
      <c r="D57" s="1" t="s">
        <v>1097</v>
      </c>
      <c r="E57" s="1" t="s">
        <v>1082</v>
      </c>
      <c r="F57" s="1" t="s">
        <v>1105</v>
      </c>
      <c r="G57" s="1" t="s">
        <v>1084</v>
      </c>
      <c r="H57">
        <v>63</v>
      </c>
      <c r="I57" t="s">
        <v>1295</v>
      </c>
      <c r="J57">
        <v>76659</v>
      </c>
      <c r="K57">
        <v>0.05</v>
      </c>
      <c r="L57" s="1" t="s">
        <v>1085</v>
      </c>
      <c r="M57" s="1" t="s">
        <v>1116</v>
      </c>
      <c r="N57" t="s">
        <v>1241</v>
      </c>
    </row>
    <row r="58" spans="1:14">
      <c r="A58" s="1" t="s">
        <v>1296</v>
      </c>
      <c r="B58" s="1" t="s">
        <v>1297</v>
      </c>
      <c r="C58" s="1" t="s">
        <v>1136</v>
      </c>
      <c r="D58" s="1" t="s">
        <v>1090</v>
      </c>
      <c r="E58" s="1" t="s">
        <v>1091</v>
      </c>
      <c r="F58" s="1" t="s">
        <v>1083</v>
      </c>
      <c r="G58" s="1" t="s">
        <v>1106</v>
      </c>
      <c r="H58">
        <v>42</v>
      </c>
      <c r="I58">
        <v>38631</v>
      </c>
      <c r="J58">
        <v>101630</v>
      </c>
      <c r="K58">
        <v>0.08</v>
      </c>
      <c r="L58" s="1" t="s">
        <v>1221</v>
      </c>
      <c r="M58" s="1" t="s">
        <v>1298</v>
      </c>
      <c r="N58" t="s">
        <v>1241</v>
      </c>
    </row>
    <row r="59" spans="1:14">
      <c r="A59" s="1" t="s">
        <v>1299</v>
      </c>
      <c r="B59" s="1" t="s">
        <v>1300</v>
      </c>
      <c r="C59" s="1" t="s">
        <v>1152</v>
      </c>
      <c r="D59" s="1" t="s">
        <v>1090</v>
      </c>
      <c r="E59" s="1" t="s">
        <v>1098</v>
      </c>
      <c r="F59" s="1" t="s">
        <v>1105</v>
      </c>
      <c r="G59" s="1" t="s">
        <v>1106</v>
      </c>
      <c r="H59">
        <v>60</v>
      </c>
      <c r="I59" t="s">
        <v>1301</v>
      </c>
      <c r="J59">
        <v>126929</v>
      </c>
      <c r="K59">
        <v>0.12</v>
      </c>
      <c r="L59" s="1" t="s">
        <v>1221</v>
      </c>
      <c r="M59" s="1" t="s">
        <v>1298</v>
      </c>
      <c r="N59" t="s">
        <v>1241</v>
      </c>
    </row>
    <row r="60" spans="1:14">
      <c r="A60" s="1" t="s">
        <v>1302</v>
      </c>
      <c r="B60" s="1" t="s">
        <v>1303</v>
      </c>
      <c r="C60" s="1" t="s">
        <v>1110</v>
      </c>
      <c r="D60" s="1" t="s">
        <v>1090</v>
      </c>
      <c r="E60" s="1" t="s">
        <v>1082</v>
      </c>
      <c r="F60" s="1" t="s">
        <v>1083</v>
      </c>
      <c r="G60" s="1" t="s">
        <v>1084</v>
      </c>
      <c r="H60">
        <v>47</v>
      </c>
      <c r="I60" t="s">
        <v>1304</v>
      </c>
      <c r="J60">
        <v>155890</v>
      </c>
      <c r="K60">
        <v>0.17</v>
      </c>
      <c r="L60" s="1" t="s">
        <v>1085</v>
      </c>
      <c r="M60" s="1" t="s">
        <v>1086</v>
      </c>
      <c r="N60" t="s">
        <v>1305</v>
      </c>
    </row>
    <row r="61" spans="1:14">
      <c r="A61" s="1" t="s">
        <v>1306</v>
      </c>
      <c r="B61" s="1" t="s">
        <v>1307</v>
      </c>
      <c r="C61" s="1" t="s">
        <v>1110</v>
      </c>
      <c r="D61" s="1" t="s">
        <v>1127</v>
      </c>
      <c r="E61" s="1" t="s">
        <v>1091</v>
      </c>
      <c r="F61" s="1" t="s">
        <v>1083</v>
      </c>
      <c r="G61" s="1" t="s">
        <v>1084</v>
      </c>
      <c r="H61">
        <v>50</v>
      </c>
      <c r="I61">
        <v>43506</v>
      </c>
      <c r="J61">
        <v>150631</v>
      </c>
      <c r="K61">
        <v>0.17</v>
      </c>
      <c r="L61" s="1" t="s">
        <v>1085</v>
      </c>
      <c r="M61" s="1" t="s">
        <v>1116</v>
      </c>
      <c r="N61" t="s">
        <v>1241</v>
      </c>
    </row>
    <row r="62" spans="1:14">
      <c r="A62" s="1" t="s">
        <v>1308</v>
      </c>
      <c r="B62" s="1" t="s">
        <v>1309</v>
      </c>
      <c r="C62" s="1" t="s">
        <v>1119</v>
      </c>
      <c r="D62" s="1" t="s">
        <v>1090</v>
      </c>
      <c r="E62" s="1" t="s">
        <v>1121</v>
      </c>
      <c r="F62" s="1" t="s">
        <v>1105</v>
      </c>
      <c r="G62" s="1" t="s">
        <v>1084</v>
      </c>
      <c r="H62">
        <v>39</v>
      </c>
      <c r="I62">
        <v>41067</v>
      </c>
      <c r="J62">
        <v>72850</v>
      </c>
      <c r="K62">
        <v>0</v>
      </c>
      <c r="L62" s="1" t="s">
        <v>1085</v>
      </c>
      <c r="M62" s="1" t="s">
        <v>1137</v>
      </c>
      <c r="N62" t="s">
        <v>1241</v>
      </c>
    </row>
    <row r="63" spans="1:14">
      <c r="A63" s="1" t="s">
        <v>1310</v>
      </c>
      <c r="B63" s="1" t="s">
        <v>1311</v>
      </c>
      <c r="C63" s="1" t="s">
        <v>1177</v>
      </c>
      <c r="D63" s="1" t="s">
        <v>1090</v>
      </c>
      <c r="E63" s="1" t="s">
        <v>1091</v>
      </c>
      <c r="F63" s="1" t="s">
        <v>1083</v>
      </c>
      <c r="G63" s="1" t="s">
        <v>1106</v>
      </c>
      <c r="H63">
        <v>46</v>
      </c>
      <c r="I63" t="s">
        <v>1312</v>
      </c>
      <c r="J63">
        <v>57951</v>
      </c>
      <c r="K63">
        <v>0</v>
      </c>
      <c r="L63" s="1" t="s">
        <v>1085</v>
      </c>
      <c r="M63" s="1" t="s">
        <v>1116</v>
      </c>
      <c r="N63" t="s">
        <v>1241</v>
      </c>
    </row>
    <row r="64" spans="1:14">
      <c r="A64" s="1" t="s">
        <v>1313</v>
      </c>
      <c r="B64" s="1" t="s">
        <v>1314</v>
      </c>
      <c r="C64" s="1" t="s">
        <v>1126</v>
      </c>
      <c r="D64" s="1" t="s">
        <v>1090</v>
      </c>
      <c r="E64" s="1" t="s">
        <v>1082</v>
      </c>
      <c r="F64" s="1" t="s">
        <v>1083</v>
      </c>
      <c r="G64" s="1" t="s">
        <v>1133</v>
      </c>
      <c r="H64">
        <v>50</v>
      </c>
      <c r="I64" t="s">
        <v>1315</v>
      </c>
      <c r="J64">
        <v>70340</v>
      </c>
      <c r="K64">
        <v>0</v>
      </c>
      <c r="L64" s="1" t="s">
        <v>1085</v>
      </c>
      <c r="M64" s="1" t="s">
        <v>1137</v>
      </c>
      <c r="N64" t="s">
        <v>1241</v>
      </c>
    </row>
    <row r="65" spans="1:14">
      <c r="A65" s="1" t="s">
        <v>1316</v>
      </c>
      <c r="B65" s="1" t="s">
        <v>1317</v>
      </c>
      <c r="C65" s="1" t="s">
        <v>1318</v>
      </c>
      <c r="D65" s="1" t="s">
        <v>1081</v>
      </c>
      <c r="E65" s="1" t="s">
        <v>1082</v>
      </c>
      <c r="F65" s="1" t="s">
        <v>1105</v>
      </c>
      <c r="G65" s="1" t="s">
        <v>1084</v>
      </c>
      <c r="H65">
        <v>55</v>
      </c>
      <c r="I65" t="s">
        <v>1319</v>
      </c>
      <c r="J65">
        <v>98221</v>
      </c>
      <c r="K65">
        <v>0</v>
      </c>
      <c r="L65" s="1" t="s">
        <v>1100</v>
      </c>
      <c r="M65" s="1" t="s">
        <v>1101</v>
      </c>
      <c r="N65" t="s">
        <v>1241</v>
      </c>
    </row>
    <row r="66" spans="1:14">
      <c r="A66" s="1" t="s">
        <v>1320</v>
      </c>
      <c r="B66" s="1" t="s">
        <v>1321</v>
      </c>
      <c r="C66" s="1" t="s">
        <v>1152</v>
      </c>
      <c r="D66" s="1" t="s">
        <v>1090</v>
      </c>
      <c r="E66" s="1" t="s">
        <v>1121</v>
      </c>
      <c r="F66" s="1" t="s">
        <v>1083</v>
      </c>
      <c r="G66" s="1" t="s">
        <v>1084</v>
      </c>
      <c r="H66">
        <v>43</v>
      </c>
      <c r="I66" t="s">
        <v>1322</v>
      </c>
      <c r="J66">
        <v>127175</v>
      </c>
      <c r="K66">
        <v>0.12</v>
      </c>
      <c r="L66" s="1" t="s">
        <v>1085</v>
      </c>
      <c r="M66" s="1" t="s">
        <v>1107</v>
      </c>
      <c r="N66" t="s">
        <v>1241</v>
      </c>
    </row>
    <row r="67" spans="1:14">
      <c r="A67" s="1" t="s">
        <v>1323</v>
      </c>
      <c r="B67" s="1" t="s">
        <v>1324</v>
      </c>
      <c r="C67" s="1" t="s">
        <v>1119</v>
      </c>
      <c r="D67" s="1" t="s">
        <v>1127</v>
      </c>
      <c r="E67" s="1" t="s">
        <v>1082</v>
      </c>
      <c r="F67" s="1" t="s">
        <v>1105</v>
      </c>
      <c r="G67" s="1" t="s">
        <v>1153</v>
      </c>
      <c r="H67">
        <v>26</v>
      </c>
      <c r="I67" t="s">
        <v>1325</v>
      </c>
      <c r="J67">
        <v>97542</v>
      </c>
      <c r="K67">
        <v>0</v>
      </c>
      <c r="L67" s="1" t="s">
        <v>1085</v>
      </c>
      <c r="M67" s="1" t="s">
        <v>1116</v>
      </c>
      <c r="N67" t="s">
        <v>1241</v>
      </c>
    </row>
    <row r="68" spans="1:14">
      <c r="A68" s="1" t="s">
        <v>1326</v>
      </c>
      <c r="B68" s="1" t="s">
        <v>1327</v>
      </c>
      <c r="C68" s="1" t="s">
        <v>1119</v>
      </c>
      <c r="D68" s="1" t="s">
        <v>1148</v>
      </c>
      <c r="E68" s="1" t="s">
        <v>1098</v>
      </c>
      <c r="F68" s="1" t="s">
        <v>1083</v>
      </c>
      <c r="G68" s="1" t="s">
        <v>1106</v>
      </c>
      <c r="H68">
        <v>34</v>
      </c>
      <c r="I68" t="s">
        <v>1328</v>
      </c>
      <c r="J68">
        <v>81646</v>
      </c>
      <c r="K68">
        <v>0</v>
      </c>
      <c r="L68" s="1" t="s">
        <v>1085</v>
      </c>
      <c r="M68" s="1" t="s">
        <v>1116</v>
      </c>
      <c r="N68" t="s">
        <v>1241</v>
      </c>
    </row>
    <row r="69" spans="1:14">
      <c r="A69" s="1" t="s">
        <v>1329</v>
      </c>
      <c r="B69" s="1" t="s">
        <v>1330</v>
      </c>
      <c r="C69" s="1" t="s">
        <v>1110</v>
      </c>
      <c r="D69" s="1" t="s">
        <v>1090</v>
      </c>
      <c r="E69" s="1" t="s">
        <v>1121</v>
      </c>
      <c r="F69" s="1" t="s">
        <v>1083</v>
      </c>
      <c r="G69" s="1" t="s">
        <v>1106</v>
      </c>
      <c r="H69">
        <v>38</v>
      </c>
      <c r="I69">
        <v>39940</v>
      </c>
      <c r="J69">
        <v>182055</v>
      </c>
      <c r="K69">
        <v>0.27</v>
      </c>
      <c r="L69" s="1" t="s">
        <v>1221</v>
      </c>
      <c r="M69" s="1" t="s">
        <v>1222</v>
      </c>
      <c r="N69" t="s">
        <v>1241</v>
      </c>
    </row>
    <row r="70" spans="1:14">
      <c r="A70" s="1" t="s">
        <v>1331</v>
      </c>
      <c r="B70" s="1" t="s">
        <v>1332</v>
      </c>
      <c r="C70" s="1" t="s">
        <v>1119</v>
      </c>
      <c r="D70" s="1" t="s">
        <v>1148</v>
      </c>
      <c r="E70" s="1" t="s">
        <v>1121</v>
      </c>
      <c r="F70" s="1" t="s">
        <v>1083</v>
      </c>
      <c r="G70" s="1" t="s">
        <v>1084</v>
      </c>
      <c r="H70">
        <v>35</v>
      </c>
      <c r="I70" t="s">
        <v>1333</v>
      </c>
      <c r="J70">
        <v>86777</v>
      </c>
      <c r="K70">
        <v>0</v>
      </c>
      <c r="L70" s="1" t="s">
        <v>1100</v>
      </c>
      <c r="M70" s="1" t="s">
        <v>1129</v>
      </c>
      <c r="N70" t="s">
        <v>1241</v>
      </c>
    </row>
    <row r="71" spans="1:14">
      <c r="A71" s="1" t="s">
        <v>1334</v>
      </c>
      <c r="B71" s="1" t="s">
        <v>1335</v>
      </c>
      <c r="C71" s="1" t="s">
        <v>1136</v>
      </c>
      <c r="D71" s="1" t="s">
        <v>1148</v>
      </c>
      <c r="E71" s="1" t="s">
        <v>1091</v>
      </c>
      <c r="F71" s="1" t="s">
        <v>1083</v>
      </c>
      <c r="G71" s="1" t="s">
        <v>1084</v>
      </c>
      <c r="H71">
        <v>39</v>
      </c>
      <c r="I71" t="s">
        <v>1336</v>
      </c>
      <c r="J71">
        <v>129949</v>
      </c>
      <c r="K71">
        <v>0.09</v>
      </c>
      <c r="L71" s="1" t="s">
        <v>1100</v>
      </c>
      <c r="M71" s="1" t="s">
        <v>1188</v>
      </c>
      <c r="N71" t="s">
        <v>1241</v>
      </c>
    </row>
    <row r="72" spans="1:14">
      <c r="A72" s="1" t="s">
        <v>1337</v>
      </c>
      <c r="B72" s="1" t="s">
        <v>1338</v>
      </c>
      <c r="C72" s="1" t="s">
        <v>1136</v>
      </c>
      <c r="D72" s="1" t="s">
        <v>1090</v>
      </c>
      <c r="E72" s="1" t="s">
        <v>1121</v>
      </c>
      <c r="F72" s="1" t="s">
        <v>1105</v>
      </c>
      <c r="G72" s="1" t="s">
        <v>1084</v>
      </c>
      <c r="H72">
        <v>26</v>
      </c>
      <c r="I72" t="s">
        <v>1339</v>
      </c>
      <c r="J72">
        <v>124535</v>
      </c>
      <c r="K72">
        <v>0.06</v>
      </c>
      <c r="L72" s="1" t="s">
        <v>1085</v>
      </c>
      <c r="M72" s="1" t="s">
        <v>1093</v>
      </c>
      <c r="N72" t="s">
        <v>1241</v>
      </c>
    </row>
    <row r="73" spans="1:14">
      <c r="A73" s="1" t="s">
        <v>1340</v>
      </c>
      <c r="B73" s="1" t="s">
        <v>1341</v>
      </c>
      <c r="C73" s="1" t="s">
        <v>1132</v>
      </c>
      <c r="D73" s="1" t="s">
        <v>1097</v>
      </c>
      <c r="E73" s="1" t="s">
        <v>1098</v>
      </c>
      <c r="F73" s="1" t="s">
        <v>1105</v>
      </c>
      <c r="G73" s="1" t="s">
        <v>1084</v>
      </c>
      <c r="H73">
        <v>60</v>
      </c>
      <c r="I73" t="s">
        <v>1342</v>
      </c>
      <c r="J73">
        <v>81083</v>
      </c>
      <c r="K73">
        <v>0</v>
      </c>
      <c r="L73" s="1" t="s">
        <v>1085</v>
      </c>
      <c r="M73" s="1" t="s">
        <v>1086</v>
      </c>
      <c r="N73" t="s">
        <v>1241</v>
      </c>
    </row>
    <row r="74" spans="1:14">
      <c r="A74" s="1" t="s">
        <v>1343</v>
      </c>
      <c r="B74" s="1" t="s">
        <v>1344</v>
      </c>
      <c r="C74" s="1" t="s">
        <v>1089</v>
      </c>
      <c r="D74" s="1" t="s">
        <v>1148</v>
      </c>
      <c r="E74" s="1" t="s">
        <v>1091</v>
      </c>
      <c r="F74" s="1" t="s">
        <v>1083</v>
      </c>
      <c r="G74" s="1" t="s">
        <v>1084</v>
      </c>
      <c r="H74">
        <v>32</v>
      </c>
      <c r="I74">
        <v>43744</v>
      </c>
      <c r="J74">
        <v>57727</v>
      </c>
      <c r="K74">
        <v>0</v>
      </c>
      <c r="L74" s="1" t="s">
        <v>1100</v>
      </c>
      <c r="M74" s="1" t="s">
        <v>1129</v>
      </c>
      <c r="N74" t="s">
        <v>1241</v>
      </c>
    </row>
    <row r="75" spans="1:14">
      <c r="A75" s="1" t="s">
        <v>1345</v>
      </c>
      <c r="B75" s="1" t="s">
        <v>1346</v>
      </c>
      <c r="C75" s="1" t="s">
        <v>1126</v>
      </c>
      <c r="D75" s="1" t="s">
        <v>1127</v>
      </c>
      <c r="E75" s="1" t="s">
        <v>1082</v>
      </c>
      <c r="F75" s="1" t="s">
        <v>1105</v>
      </c>
      <c r="G75" s="1" t="s">
        <v>1133</v>
      </c>
      <c r="H75">
        <v>65</v>
      </c>
      <c r="I75">
        <v>44142</v>
      </c>
      <c r="J75">
        <v>59344</v>
      </c>
      <c r="K75">
        <v>0</v>
      </c>
      <c r="L75" s="1" t="s">
        <v>1085</v>
      </c>
      <c r="M75" s="1" t="s">
        <v>1086</v>
      </c>
      <c r="N75" t="s">
        <v>1241</v>
      </c>
    </row>
    <row r="76" spans="1:14">
      <c r="A76" s="1" t="s">
        <v>1347</v>
      </c>
      <c r="B76" s="1" t="s">
        <v>1348</v>
      </c>
      <c r="C76" s="1" t="s">
        <v>1119</v>
      </c>
      <c r="D76" s="1" t="s">
        <v>1090</v>
      </c>
      <c r="E76" s="1" t="s">
        <v>1098</v>
      </c>
      <c r="F76" s="1" t="s">
        <v>1083</v>
      </c>
      <c r="G76" s="1" t="s">
        <v>1084</v>
      </c>
      <c r="H76">
        <v>27</v>
      </c>
      <c r="I76" t="s">
        <v>1349</v>
      </c>
      <c r="J76">
        <v>73203</v>
      </c>
      <c r="K76">
        <v>0</v>
      </c>
      <c r="L76" s="1" t="s">
        <v>1085</v>
      </c>
      <c r="M76" s="1" t="s">
        <v>1137</v>
      </c>
      <c r="N76" t="s">
        <v>1241</v>
      </c>
    </row>
    <row r="77" spans="1:14">
      <c r="A77" s="1" t="s">
        <v>1350</v>
      </c>
      <c r="B77" s="1" t="s">
        <v>1351</v>
      </c>
      <c r="C77" s="1" t="s">
        <v>1104</v>
      </c>
      <c r="D77" s="1" t="s">
        <v>1097</v>
      </c>
      <c r="E77" s="1" t="s">
        <v>1121</v>
      </c>
      <c r="F77" s="1" t="s">
        <v>1105</v>
      </c>
      <c r="G77" s="1" t="s">
        <v>1106</v>
      </c>
      <c r="H77">
        <v>63</v>
      </c>
      <c r="I77" t="s">
        <v>1352</v>
      </c>
      <c r="J77">
        <v>83070</v>
      </c>
      <c r="K77">
        <v>0</v>
      </c>
      <c r="L77" s="1" t="s">
        <v>1221</v>
      </c>
      <c r="M77" s="1" t="s">
        <v>1298</v>
      </c>
      <c r="N77" t="s">
        <v>1241</v>
      </c>
    </row>
    <row r="78" spans="1:14">
      <c r="A78" s="1" t="s">
        <v>1353</v>
      </c>
      <c r="B78" s="1" t="s">
        <v>1354</v>
      </c>
      <c r="C78" s="1" t="s">
        <v>1136</v>
      </c>
      <c r="D78" s="1" t="s">
        <v>1208</v>
      </c>
      <c r="E78" s="1" t="s">
        <v>1098</v>
      </c>
      <c r="F78" s="1" t="s">
        <v>1105</v>
      </c>
      <c r="G78" s="1" t="s">
        <v>1084</v>
      </c>
      <c r="H78">
        <v>51</v>
      </c>
      <c r="I78" t="s">
        <v>1355</v>
      </c>
      <c r="J78">
        <v>104008</v>
      </c>
      <c r="K78">
        <v>0.1</v>
      </c>
      <c r="L78" s="1" t="s">
        <v>1100</v>
      </c>
      <c r="M78" s="1" t="s">
        <v>1188</v>
      </c>
      <c r="N78" t="s">
        <v>1241</v>
      </c>
    </row>
    <row r="79" spans="1:14">
      <c r="A79" s="1" t="s">
        <v>1356</v>
      </c>
      <c r="B79" s="1" t="s">
        <v>1357</v>
      </c>
      <c r="C79" s="1" t="s">
        <v>1358</v>
      </c>
      <c r="D79" s="1" t="s">
        <v>1097</v>
      </c>
      <c r="E79" s="1" t="s">
        <v>1091</v>
      </c>
      <c r="F79" s="1" t="s">
        <v>1105</v>
      </c>
      <c r="G79" s="1" t="s">
        <v>1133</v>
      </c>
      <c r="H79">
        <v>43</v>
      </c>
      <c r="I79" t="s">
        <v>1359</v>
      </c>
      <c r="J79">
        <v>70923</v>
      </c>
      <c r="K79">
        <v>0</v>
      </c>
      <c r="L79" s="1" t="s">
        <v>1085</v>
      </c>
      <c r="M79" s="1" t="s">
        <v>1086</v>
      </c>
      <c r="N79" t="s">
        <v>1241</v>
      </c>
    </row>
    <row r="80" spans="1:14">
      <c r="A80" s="1" t="s">
        <v>1360</v>
      </c>
      <c r="B80" s="1" t="s">
        <v>1361</v>
      </c>
      <c r="C80" s="1" t="s">
        <v>1152</v>
      </c>
      <c r="D80" s="1" t="s">
        <v>1148</v>
      </c>
      <c r="E80" s="1" t="s">
        <v>1121</v>
      </c>
      <c r="F80" s="1" t="s">
        <v>1083</v>
      </c>
      <c r="G80" s="1" t="s">
        <v>1153</v>
      </c>
      <c r="H80">
        <v>31</v>
      </c>
      <c r="I80">
        <v>43316</v>
      </c>
      <c r="J80">
        <v>159121</v>
      </c>
      <c r="K80">
        <v>0.14000000000000001</v>
      </c>
      <c r="L80" s="1" t="s">
        <v>1085</v>
      </c>
      <c r="M80" s="1" t="s">
        <v>1116</v>
      </c>
      <c r="N80" t="s">
        <v>1241</v>
      </c>
    </row>
    <row r="81" spans="1:14">
      <c r="A81" s="1" t="s">
        <v>1362</v>
      </c>
      <c r="B81" s="1" t="s">
        <v>1363</v>
      </c>
      <c r="C81" s="1" t="s">
        <v>1364</v>
      </c>
      <c r="D81" s="1" t="s">
        <v>1208</v>
      </c>
      <c r="E81" s="1" t="s">
        <v>1098</v>
      </c>
      <c r="F81" s="1" t="s">
        <v>1105</v>
      </c>
      <c r="G81" s="1" t="s">
        <v>1133</v>
      </c>
      <c r="H81">
        <v>26</v>
      </c>
      <c r="I81">
        <v>43873</v>
      </c>
      <c r="J81">
        <v>88921</v>
      </c>
      <c r="K81">
        <v>0</v>
      </c>
      <c r="L81" s="1" t="s">
        <v>1085</v>
      </c>
      <c r="M81" s="1" t="s">
        <v>1093</v>
      </c>
      <c r="N81" t="s">
        <v>1241</v>
      </c>
    </row>
    <row r="82" spans="1:14">
      <c r="A82" s="1" t="s">
        <v>1365</v>
      </c>
      <c r="B82" s="1" t="s">
        <v>1366</v>
      </c>
      <c r="C82" s="1" t="s">
        <v>1152</v>
      </c>
      <c r="D82" s="1" t="s">
        <v>1090</v>
      </c>
      <c r="E82" s="1" t="s">
        <v>1121</v>
      </c>
      <c r="F82" s="1" t="s">
        <v>1083</v>
      </c>
      <c r="G82" s="1" t="s">
        <v>1084</v>
      </c>
      <c r="H82">
        <v>46</v>
      </c>
      <c r="I82" t="s">
        <v>1367</v>
      </c>
      <c r="J82">
        <v>126704</v>
      </c>
      <c r="K82">
        <v>0.14000000000000001</v>
      </c>
      <c r="L82" s="1" t="s">
        <v>1085</v>
      </c>
      <c r="M82" s="1" t="s">
        <v>1116</v>
      </c>
      <c r="N82" t="s">
        <v>1241</v>
      </c>
    </row>
    <row r="83" spans="1:14">
      <c r="A83" s="1" t="s">
        <v>1368</v>
      </c>
      <c r="B83" s="1" t="s">
        <v>1369</v>
      </c>
      <c r="C83" s="1" t="s">
        <v>1126</v>
      </c>
      <c r="D83" s="1" t="s">
        <v>1120</v>
      </c>
      <c r="E83" s="1" t="s">
        <v>1082</v>
      </c>
      <c r="F83" s="1" t="s">
        <v>1105</v>
      </c>
      <c r="G83" s="1" t="s">
        <v>1084</v>
      </c>
      <c r="H83">
        <v>59</v>
      </c>
      <c r="I83" t="s">
        <v>1370</v>
      </c>
      <c r="J83">
        <v>57704</v>
      </c>
      <c r="K83">
        <v>0</v>
      </c>
      <c r="L83" s="1" t="s">
        <v>1100</v>
      </c>
      <c r="M83" s="1" t="s">
        <v>1101</v>
      </c>
      <c r="N83" t="s">
        <v>1371</v>
      </c>
    </row>
    <row r="84" spans="1:14">
      <c r="A84" s="1" t="s">
        <v>1372</v>
      </c>
      <c r="B84" s="1" t="s">
        <v>1373</v>
      </c>
      <c r="C84" s="1" t="s">
        <v>1110</v>
      </c>
      <c r="D84" s="1" t="s">
        <v>1090</v>
      </c>
      <c r="E84" s="1" t="s">
        <v>1098</v>
      </c>
      <c r="F84" s="1" t="s">
        <v>1105</v>
      </c>
      <c r="G84" s="1" t="s">
        <v>1106</v>
      </c>
      <c r="H84">
        <v>52</v>
      </c>
      <c r="I84" t="s">
        <v>1374</v>
      </c>
      <c r="J84">
        <v>191455</v>
      </c>
      <c r="K84">
        <v>0.24</v>
      </c>
      <c r="L84" s="1" t="s">
        <v>1221</v>
      </c>
      <c r="M84" s="1" t="s">
        <v>1298</v>
      </c>
      <c r="N84" t="s">
        <v>1241</v>
      </c>
    </row>
    <row r="85" spans="1:14">
      <c r="A85" s="1" t="s">
        <v>1375</v>
      </c>
      <c r="B85" s="1" t="s">
        <v>1376</v>
      </c>
      <c r="C85" s="1" t="s">
        <v>1358</v>
      </c>
      <c r="D85" s="1" t="s">
        <v>1097</v>
      </c>
      <c r="E85" s="1" t="s">
        <v>1082</v>
      </c>
      <c r="F85" s="1" t="s">
        <v>1083</v>
      </c>
      <c r="G85" s="1" t="s">
        <v>1133</v>
      </c>
      <c r="H85">
        <v>31</v>
      </c>
      <c r="I85">
        <v>44261</v>
      </c>
      <c r="J85">
        <v>99937</v>
      </c>
      <c r="K85">
        <v>0</v>
      </c>
      <c r="L85" s="1" t="s">
        <v>1085</v>
      </c>
      <c r="M85" s="1" t="s">
        <v>1116</v>
      </c>
      <c r="N85" t="s">
        <v>1241</v>
      </c>
    </row>
    <row r="86" spans="1:14">
      <c r="A86" s="1" t="s">
        <v>1377</v>
      </c>
      <c r="B86" s="1" t="s">
        <v>1378</v>
      </c>
      <c r="C86" s="1" t="s">
        <v>1089</v>
      </c>
      <c r="D86" s="1" t="s">
        <v>1148</v>
      </c>
      <c r="E86" s="1" t="s">
        <v>1121</v>
      </c>
      <c r="F86" s="1" t="s">
        <v>1083</v>
      </c>
      <c r="G86" s="1" t="s">
        <v>1084</v>
      </c>
      <c r="H86">
        <v>42</v>
      </c>
      <c r="I86">
        <v>39785</v>
      </c>
      <c r="J86">
        <v>40778</v>
      </c>
      <c r="K86">
        <v>0</v>
      </c>
      <c r="L86" s="1" t="s">
        <v>1100</v>
      </c>
      <c r="M86" s="1" t="s">
        <v>1129</v>
      </c>
      <c r="N86" t="s">
        <v>1241</v>
      </c>
    </row>
    <row r="87" spans="1:14">
      <c r="A87" s="1" t="s">
        <v>1379</v>
      </c>
      <c r="B87" s="1" t="s">
        <v>1380</v>
      </c>
      <c r="C87" s="1" t="s">
        <v>1110</v>
      </c>
      <c r="D87" s="1" t="s">
        <v>1148</v>
      </c>
      <c r="E87" s="1" t="s">
        <v>1121</v>
      </c>
      <c r="F87" s="1" t="s">
        <v>1083</v>
      </c>
      <c r="G87" s="1" t="s">
        <v>1084</v>
      </c>
      <c r="H87">
        <v>53</v>
      </c>
      <c r="I87" t="s">
        <v>1381</v>
      </c>
      <c r="J87">
        <v>187740</v>
      </c>
      <c r="K87">
        <v>0.16</v>
      </c>
      <c r="L87" s="1" t="s">
        <v>1085</v>
      </c>
      <c r="M87" s="1" t="s">
        <v>1086</v>
      </c>
      <c r="N87" t="s">
        <v>1241</v>
      </c>
    </row>
    <row r="88" spans="1:14">
      <c r="A88" s="1" t="s">
        <v>1382</v>
      </c>
      <c r="B88" s="1" t="s">
        <v>1383</v>
      </c>
      <c r="C88" s="1" t="s">
        <v>1384</v>
      </c>
      <c r="D88" s="1" t="s">
        <v>1208</v>
      </c>
      <c r="E88" s="1" t="s">
        <v>1098</v>
      </c>
      <c r="F88" s="1" t="s">
        <v>1083</v>
      </c>
      <c r="G88" s="1" t="s">
        <v>1106</v>
      </c>
      <c r="H88">
        <v>47</v>
      </c>
      <c r="I88">
        <v>39730</v>
      </c>
      <c r="J88">
        <v>72384</v>
      </c>
      <c r="K88">
        <v>0</v>
      </c>
      <c r="L88" s="1" t="s">
        <v>1221</v>
      </c>
      <c r="M88" s="1" t="s">
        <v>1222</v>
      </c>
      <c r="N88" t="s">
        <v>1241</v>
      </c>
    </row>
    <row r="89" spans="1:14">
      <c r="A89" s="1" t="s">
        <v>1385</v>
      </c>
      <c r="B89" s="1" t="s">
        <v>1386</v>
      </c>
      <c r="C89" s="1" t="s">
        <v>1152</v>
      </c>
      <c r="D89" s="1" t="s">
        <v>1148</v>
      </c>
      <c r="E89" s="1" t="s">
        <v>1091</v>
      </c>
      <c r="F89" s="1" t="s">
        <v>1105</v>
      </c>
      <c r="G89" s="1" t="s">
        <v>1084</v>
      </c>
      <c r="H89">
        <v>45</v>
      </c>
      <c r="I89">
        <v>42498</v>
      </c>
      <c r="J89">
        <v>143318</v>
      </c>
      <c r="K89">
        <v>0.12</v>
      </c>
      <c r="L89" s="1" t="s">
        <v>1100</v>
      </c>
      <c r="M89" s="1" t="s">
        <v>1129</v>
      </c>
      <c r="N89" t="s">
        <v>1241</v>
      </c>
    </row>
    <row r="90" spans="1:14">
      <c r="A90" s="1" t="s">
        <v>1387</v>
      </c>
      <c r="B90" s="1" t="s">
        <v>1388</v>
      </c>
      <c r="C90" s="1" t="s">
        <v>1110</v>
      </c>
      <c r="D90" s="1" t="s">
        <v>1208</v>
      </c>
      <c r="E90" s="1" t="s">
        <v>1121</v>
      </c>
      <c r="F90" s="1" t="s">
        <v>1105</v>
      </c>
      <c r="G90" s="1" t="s">
        <v>1106</v>
      </c>
      <c r="H90">
        <v>45</v>
      </c>
      <c r="I90" t="s">
        <v>1389</v>
      </c>
      <c r="J90">
        <v>191304</v>
      </c>
      <c r="K90">
        <v>0.17</v>
      </c>
      <c r="L90" s="1" t="s">
        <v>1085</v>
      </c>
      <c r="M90" s="1" t="s">
        <v>1116</v>
      </c>
      <c r="N90" t="s">
        <v>1241</v>
      </c>
    </row>
    <row r="91" spans="1:14">
      <c r="A91" s="1" t="s">
        <v>1390</v>
      </c>
      <c r="B91" s="1" t="s">
        <v>1391</v>
      </c>
      <c r="C91" s="1" t="s">
        <v>1110</v>
      </c>
      <c r="D91" s="1" t="s">
        <v>1208</v>
      </c>
      <c r="E91" s="1" t="s">
        <v>1121</v>
      </c>
      <c r="F91" s="1" t="s">
        <v>1105</v>
      </c>
      <c r="G91" s="1" t="s">
        <v>1153</v>
      </c>
      <c r="H91">
        <v>33</v>
      </c>
      <c r="I91" t="s">
        <v>1392</v>
      </c>
      <c r="J91">
        <v>175875</v>
      </c>
      <c r="K91">
        <v>0.21</v>
      </c>
      <c r="L91" s="1" t="s">
        <v>1085</v>
      </c>
      <c r="M91" s="1" t="s">
        <v>1086</v>
      </c>
      <c r="N91" t="s">
        <v>1393</v>
      </c>
    </row>
    <row r="92" spans="1:14">
      <c r="A92" s="1" t="s">
        <v>1394</v>
      </c>
      <c r="B92" s="1" t="s">
        <v>1395</v>
      </c>
      <c r="C92" s="1" t="s">
        <v>1136</v>
      </c>
      <c r="D92" s="1" t="s">
        <v>1090</v>
      </c>
      <c r="E92" s="1" t="s">
        <v>1098</v>
      </c>
      <c r="F92" s="1" t="s">
        <v>1105</v>
      </c>
      <c r="G92" s="1" t="s">
        <v>1153</v>
      </c>
      <c r="H92">
        <v>42</v>
      </c>
      <c r="I92" t="s">
        <v>1396</v>
      </c>
      <c r="J92">
        <v>106726</v>
      </c>
      <c r="K92">
        <v>0.09</v>
      </c>
      <c r="L92" s="1" t="s">
        <v>1085</v>
      </c>
      <c r="M92" s="1" t="s">
        <v>1107</v>
      </c>
      <c r="N92" t="s">
        <v>1241</v>
      </c>
    </row>
    <row r="93" spans="1:14">
      <c r="A93" s="1" t="s">
        <v>1397</v>
      </c>
      <c r="B93" s="1" t="s">
        <v>1398</v>
      </c>
      <c r="C93" s="1" t="s">
        <v>1275</v>
      </c>
      <c r="D93" s="1" t="s">
        <v>1097</v>
      </c>
      <c r="E93" s="1" t="s">
        <v>1082</v>
      </c>
      <c r="F93" s="1" t="s">
        <v>1105</v>
      </c>
      <c r="G93" s="1" t="s">
        <v>1153</v>
      </c>
      <c r="H93">
        <v>37</v>
      </c>
      <c r="I93" t="s">
        <v>1399</v>
      </c>
      <c r="J93">
        <v>72637</v>
      </c>
      <c r="K93">
        <v>0</v>
      </c>
      <c r="L93" s="1" t="s">
        <v>1085</v>
      </c>
      <c r="M93" s="1" t="s">
        <v>1086</v>
      </c>
      <c r="N93" t="s">
        <v>1241</v>
      </c>
    </row>
    <row r="94" spans="1:14">
      <c r="A94" s="1" t="s">
        <v>1400</v>
      </c>
      <c r="B94" s="1" t="s">
        <v>1401</v>
      </c>
      <c r="C94" s="1" t="s">
        <v>1136</v>
      </c>
      <c r="D94" s="1" t="s">
        <v>1148</v>
      </c>
      <c r="E94" s="1" t="s">
        <v>1091</v>
      </c>
      <c r="F94" s="1" t="s">
        <v>1105</v>
      </c>
      <c r="G94" s="1" t="s">
        <v>1084</v>
      </c>
      <c r="H94">
        <v>27</v>
      </c>
      <c r="I94">
        <v>44693</v>
      </c>
      <c r="J94">
        <v>118304</v>
      </c>
      <c r="K94">
        <v>7.0000000000000007E-2</v>
      </c>
      <c r="L94" s="1" t="s">
        <v>1100</v>
      </c>
      <c r="M94" s="1" t="s">
        <v>1101</v>
      </c>
      <c r="N94" t="s">
        <v>1241</v>
      </c>
    </row>
    <row r="95" spans="1:14">
      <c r="A95" s="1" t="s">
        <v>1402</v>
      </c>
      <c r="B95" s="1" t="s">
        <v>1403</v>
      </c>
      <c r="C95" s="1" t="s">
        <v>1294</v>
      </c>
      <c r="D95" s="1" t="s">
        <v>1097</v>
      </c>
      <c r="E95" s="1" t="s">
        <v>1082</v>
      </c>
      <c r="F95" s="1" t="s">
        <v>1083</v>
      </c>
      <c r="G95" s="1" t="s">
        <v>1106</v>
      </c>
      <c r="H95">
        <v>55</v>
      </c>
      <c r="I95" t="s">
        <v>1404</v>
      </c>
      <c r="J95">
        <v>68592</v>
      </c>
      <c r="K95">
        <v>0.08</v>
      </c>
      <c r="L95" s="1" t="s">
        <v>1221</v>
      </c>
      <c r="M95" s="1" t="s">
        <v>1298</v>
      </c>
      <c r="N95" t="s">
        <v>1241</v>
      </c>
    </row>
    <row r="96" spans="1:14">
      <c r="A96" s="1" t="s">
        <v>1405</v>
      </c>
      <c r="B96" s="1" t="s">
        <v>1406</v>
      </c>
      <c r="C96" s="1" t="s">
        <v>1089</v>
      </c>
      <c r="D96" s="1" t="s">
        <v>1120</v>
      </c>
      <c r="E96" s="1" t="s">
        <v>1098</v>
      </c>
      <c r="F96" s="1" t="s">
        <v>1105</v>
      </c>
      <c r="G96" s="1" t="s">
        <v>1084</v>
      </c>
      <c r="H96">
        <v>46</v>
      </c>
      <c r="I96">
        <v>38721</v>
      </c>
      <c r="J96">
        <v>42532</v>
      </c>
      <c r="K96">
        <v>0</v>
      </c>
      <c r="L96" s="1" t="s">
        <v>1100</v>
      </c>
      <c r="M96" s="1" t="s">
        <v>1123</v>
      </c>
      <c r="N96" t="s">
        <v>1241</v>
      </c>
    </row>
    <row r="97" spans="1:14">
      <c r="A97" s="1" t="s">
        <v>1407</v>
      </c>
      <c r="B97" s="1" t="s">
        <v>1408</v>
      </c>
      <c r="C97" s="1" t="s">
        <v>1173</v>
      </c>
      <c r="D97" s="1" t="s">
        <v>1097</v>
      </c>
      <c r="E97" s="1" t="s">
        <v>1098</v>
      </c>
      <c r="F97" s="1" t="s">
        <v>1083</v>
      </c>
      <c r="G97" s="1" t="s">
        <v>1084</v>
      </c>
      <c r="H97">
        <v>37</v>
      </c>
      <c r="I97" t="s">
        <v>1409</v>
      </c>
      <c r="J97">
        <v>65073</v>
      </c>
      <c r="K97">
        <v>0</v>
      </c>
      <c r="L97" s="1" t="s">
        <v>1100</v>
      </c>
      <c r="M97" s="1" t="s">
        <v>1101</v>
      </c>
      <c r="N97" t="s">
        <v>1241</v>
      </c>
    </row>
    <row r="98" spans="1:14">
      <c r="A98" s="1" t="s">
        <v>1410</v>
      </c>
      <c r="B98" s="1" t="s">
        <v>1411</v>
      </c>
      <c r="C98" s="1" t="s">
        <v>1412</v>
      </c>
      <c r="D98" s="1" t="s">
        <v>1081</v>
      </c>
      <c r="E98" s="1" t="s">
        <v>1091</v>
      </c>
      <c r="F98" s="1" t="s">
        <v>1083</v>
      </c>
      <c r="G98" s="1" t="s">
        <v>1084</v>
      </c>
      <c r="H98">
        <v>32</v>
      </c>
      <c r="I98" t="s">
        <v>1413</v>
      </c>
      <c r="J98">
        <v>111035</v>
      </c>
      <c r="K98">
        <v>0.12</v>
      </c>
      <c r="L98" s="1" t="s">
        <v>1085</v>
      </c>
      <c r="M98" s="1" t="s">
        <v>1093</v>
      </c>
      <c r="N98" t="s">
        <v>1241</v>
      </c>
    </row>
    <row r="99" spans="1:14">
      <c r="A99" s="1" t="s">
        <v>1414</v>
      </c>
      <c r="B99" s="1" t="s">
        <v>1415</v>
      </c>
      <c r="C99" s="1" t="s">
        <v>1126</v>
      </c>
      <c r="D99" s="1" t="s">
        <v>1127</v>
      </c>
      <c r="E99" s="1" t="s">
        <v>1121</v>
      </c>
      <c r="F99" s="1" t="s">
        <v>1105</v>
      </c>
      <c r="G99" s="1" t="s">
        <v>1133</v>
      </c>
      <c r="H99">
        <v>28</v>
      </c>
      <c r="I99">
        <v>44014</v>
      </c>
      <c r="J99">
        <v>63066</v>
      </c>
      <c r="K99">
        <v>0</v>
      </c>
      <c r="L99" s="1" t="s">
        <v>1085</v>
      </c>
      <c r="M99" s="1" t="s">
        <v>1107</v>
      </c>
      <c r="N99" t="s">
        <v>1241</v>
      </c>
    </row>
    <row r="100" spans="1:14">
      <c r="A100" s="1" t="s">
        <v>1416</v>
      </c>
      <c r="B100" s="1" t="s">
        <v>1417</v>
      </c>
      <c r="C100" s="1" t="s">
        <v>1110</v>
      </c>
      <c r="D100" s="1" t="s">
        <v>1081</v>
      </c>
      <c r="E100" s="1" t="s">
        <v>1091</v>
      </c>
      <c r="F100" s="1" t="s">
        <v>1083</v>
      </c>
      <c r="G100" s="1" t="s">
        <v>1106</v>
      </c>
      <c r="H100">
        <v>49</v>
      </c>
      <c r="I100" t="s">
        <v>1418</v>
      </c>
      <c r="J100">
        <v>186192</v>
      </c>
      <c r="K100">
        <v>0.27</v>
      </c>
      <c r="L100" s="1" t="s">
        <v>1221</v>
      </c>
      <c r="M100" s="1" t="s">
        <v>1298</v>
      </c>
      <c r="N100" t="s">
        <v>1241</v>
      </c>
    </row>
    <row r="101" spans="1:14">
      <c r="A101" s="1" t="s">
        <v>1419</v>
      </c>
      <c r="B101" s="1" t="s">
        <v>1420</v>
      </c>
      <c r="C101" s="1" t="s">
        <v>1110</v>
      </c>
      <c r="D101" s="1" t="s">
        <v>1081</v>
      </c>
      <c r="E101" s="1" t="s">
        <v>1091</v>
      </c>
      <c r="F101" s="1" t="s">
        <v>1105</v>
      </c>
      <c r="G101" s="1" t="s">
        <v>1084</v>
      </c>
      <c r="H101">
        <v>52</v>
      </c>
      <c r="I101" t="s">
        <v>1421</v>
      </c>
      <c r="J101">
        <v>182938</v>
      </c>
      <c r="K101">
        <v>0.23</v>
      </c>
      <c r="L101" s="1" t="s">
        <v>1100</v>
      </c>
      <c r="M101" s="1" t="s">
        <v>1129</v>
      </c>
      <c r="N101" t="s">
        <v>1241</v>
      </c>
    </row>
    <row r="102" spans="1:14">
      <c r="A102" s="1" t="s">
        <v>1422</v>
      </c>
      <c r="B102" s="1" t="s">
        <v>1423</v>
      </c>
      <c r="C102" s="1" t="s">
        <v>1089</v>
      </c>
      <c r="D102" s="1" t="s">
        <v>1120</v>
      </c>
      <c r="E102" s="1" t="s">
        <v>1082</v>
      </c>
      <c r="F102" s="1" t="s">
        <v>1105</v>
      </c>
      <c r="G102" s="1" t="s">
        <v>1084</v>
      </c>
      <c r="H102">
        <v>61</v>
      </c>
      <c r="I102">
        <v>43081</v>
      </c>
      <c r="J102">
        <v>53931</v>
      </c>
      <c r="K102">
        <v>0</v>
      </c>
      <c r="L102" s="1" t="s">
        <v>1100</v>
      </c>
      <c r="M102" s="1" t="s">
        <v>1101</v>
      </c>
      <c r="N102" t="s">
        <v>1241</v>
      </c>
    </row>
    <row r="103" spans="1:14">
      <c r="A103" s="1" t="s">
        <v>1424</v>
      </c>
      <c r="B103" s="1" t="s">
        <v>1425</v>
      </c>
      <c r="C103" s="1" t="s">
        <v>1160</v>
      </c>
      <c r="D103" s="1" t="s">
        <v>1090</v>
      </c>
      <c r="E103" s="1" t="s">
        <v>1121</v>
      </c>
      <c r="F103" s="1" t="s">
        <v>1083</v>
      </c>
      <c r="G103" s="1" t="s">
        <v>1084</v>
      </c>
      <c r="H103">
        <v>53</v>
      </c>
      <c r="I103" t="s">
        <v>1426</v>
      </c>
      <c r="J103">
        <v>252140</v>
      </c>
      <c r="K103">
        <v>0.38</v>
      </c>
      <c r="L103" s="1" t="s">
        <v>1100</v>
      </c>
      <c r="M103" s="1" t="s">
        <v>1188</v>
      </c>
      <c r="N103" t="s">
        <v>1241</v>
      </c>
    </row>
    <row r="104" spans="1:14">
      <c r="A104" s="1" t="s">
        <v>1427</v>
      </c>
      <c r="B104" s="1" t="s">
        <v>1428</v>
      </c>
      <c r="C104" s="1" t="s">
        <v>1364</v>
      </c>
      <c r="D104" s="1" t="s">
        <v>1208</v>
      </c>
      <c r="E104" s="1" t="s">
        <v>1091</v>
      </c>
      <c r="F104" s="1" t="s">
        <v>1083</v>
      </c>
      <c r="G104" s="1" t="s">
        <v>1084</v>
      </c>
      <c r="H104">
        <v>40</v>
      </c>
      <c r="I104" t="s">
        <v>1429</v>
      </c>
      <c r="J104">
        <v>73041</v>
      </c>
      <c r="K104">
        <v>0</v>
      </c>
      <c r="L104" s="1" t="s">
        <v>1100</v>
      </c>
      <c r="M104" s="1" t="s">
        <v>1101</v>
      </c>
      <c r="N104" t="s">
        <v>1241</v>
      </c>
    </row>
    <row r="105" spans="1:14">
      <c r="A105" s="1" t="s">
        <v>1430</v>
      </c>
      <c r="B105" s="1" t="s">
        <v>1431</v>
      </c>
      <c r="C105" s="1" t="s">
        <v>1136</v>
      </c>
      <c r="D105" s="1" t="s">
        <v>1127</v>
      </c>
      <c r="E105" s="1" t="s">
        <v>1091</v>
      </c>
      <c r="F105" s="1" t="s">
        <v>1083</v>
      </c>
      <c r="G105" s="1" t="s">
        <v>1133</v>
      </c>
      <c r="H105">
        <v>27</v>
      </c>
      <c r="I105" t="s">
        <v>1432</v>
      </c>
      <c r="J105">
        <v>120315</v>
      </c>
      <c r="K105">
        <v>0.08</v>
      </c>
      <c r="L105" s="1" t="s">
        <v>1085</v>
      </c>
      <c r="M105" s="1" t="s">
        <v>1137</v>
      </c>
      <c r="N105" t="s">
        <v>1433</v>
      </c>
    </row>
    <row r="106" spans="1:14">
      <c r="A106" s="1" t="s">
        <v>1434</v>
      </c>
      <c r="B106" s="1" t="s">
        <v>1435</v>
      </c>
      <c r="C106" s="1" t="s">
        <v>1136</v>
      </c>
      <c r="D106" s="1" t="s">
        <v>1148</v>
      </c>
      <c r="E106" s="1" t="s">
        <v>1121</v>
      </c>
      <c r="F106" s="1" t="s">
        <v>1105</v>
      </c>
      <c r="G106" s="1" t="s">
        <v>1133</v>
      </c>
      <c r="H106">
        <v>26</v>
      </c>
      <c r="I106" t="s">
        <v>1436</v>
      </c>
      <c r="J106">
        <v>112264</v>
      </c>
      <c r="K106">
        <v>0.05</v>
      </c>
      <c r="L106" s="1" t="s">
        <v>1085</v>
      </c>
      <c r="M106" s="1" t="s">
        <v>1093</v>
      </c>
      <c r="N106" t="s">
        <v>1241</v>
      </c>
    </row>
    <row r="107" spans="1:14">
      <c r="A107" s="1" t="s">
        <v>1437</v>
      </c>
      <c r="B107" s="1" t="s">
        <v>1438</v>
      </c>
      <c r="C107" s="1" t="s">
        <v>1140</v>
      </c>
      <c r="D107" s="1" t="s">
        <v>1097</v>
      </c>
      <c r="E107" s="1" t="s">
        <v>1121</v>
      </c>
      <c r="F107" s="1" t="s">
        <v>1083</v>
      </c>
      <c r="G107" s="1" t="s">
        <v>1133</v>
      </c>
      <c r="H107">
        <v>53</v>
      </c>
      <c r="I107" t="s">
        <v>1439</v>
      </c>
      <c r="J107">
        <v>55039</v>
      </c>
      <c r="K107">
        <v>0</v>
      </c>
      <c r="L107" s="1" t="s">
        <v>1085</v>
      </c>
      <c r="M107" s="1" t="s">
        <v>1107</v>
      </c>
      <c r="N107" t="s">
        <v>1241</v>
      </c>
    </row>
    <row r="108" spans="1:14">
      <c r="A108" s="1" t="s">
        <v>1440</v>
      </c>
      <c r="B108" s="1" t="s">
        <v>1441</v>
      </c>
      <c r="C108" s="1" t="s">
        <v>1152</v>
      </c>
      <c r="D108" s="1" t="s">
        <v>1120</v>
      </c>
      <c r="E108" s="1" t="s">
        <v>1121</v>
      </c>
      <c r="F108" s="1" t="s">
        <v>1083</v>
      </c>
      <c r="G108" s="1" t="s">
        <v>1106</v>
      </c>
      <c r="H108">
        <v>33</v>
      </c>
      <c r="I108" t="s">
        <v>1442</v>
      </c>
      <c r="J108">
        <v>134782</v>
      </c>
      <c r="K108">
        <v>0.15</v>
      </c>
      <c r="L108" s="1" t="s">
        <v>1221</v>
      </c>
      <c r="M108" s="1" t="s">
        <v>1443</v>
      </c>
      <c r="N108" t="s">
        <v>1241</v>
      </c>
    </row>
    <row r="109" spans="1:14">
      <c r="A109" s="1" t="s">
        <v>1444</v>
      </c>
      <c r="B109" s="1" t="s">
        <v>1445</v>
      </c>
      <c r="C109" s="1" t="s">
        <v>1446</v>
      </c>
      <c r="D109" s="1" t="s">
        <v>1081</v>
      </c>
      <c r="E109" s="1" t="s">
        <v>1082</v>
      </c>
      <c r="F109" s="1" t="s">
        <v>1105</v>
      </c>
      <c r="G109" s="1" t="s">
        <v>1084</v>
      </c>
      <c r="H109">
        <v>27</v>
      </c>
      <c r="I109">
        <v>44907</v>
      </c>
      <c r="J109">
        <v>92806</v>
      </c>
      <c r="K109">
        <v>0</v>
      </c>
      <c r="L109" s="1" t="s">
        <v>1100</v>
      </c>
      <c r="M109" s="1" t="s">
        <v>1129</v>
      </c>
      <c r="N109" t="s">
        <v>1241</v>
      </c>
    </row>
    <row r="110" spans="1:14">
      <c r="A110" s="1" t="s">
        <v>1447</v>
      </c>
      <c r="B110" s="1" t="s">
        <v>1448</v>
      </c>
      <c r="C110" s="1" t="s">
        <v>1160</v>
      </c>
      <c r="D110" s="1" t="s">
        <v>1148</v>
      </c>
      <c r="E110" s="1" t="s">
        <v>1091</v>
      </c>
      <c r="F110" s="1" t="s">
        <v>1105</v>
      </c>
      <c r="G110" s="1" t="s">
        <v>1106</v>
      </c>
      <c r="H110">
        <v>56</v>
      </c>
      <c r="I110">
        <v>42407</v>
      </c>
      <c r="J110">
        <v>181028</v>
      </c>
      <c r="K110">
        <v>0.38</v>
      </c>
      <c r="L110" s="1" t="s">
        <v>1085</v>
      </c>
      <c r="M110" s="1" t="s">
        <v>1116</v>
      </c>
      <c r="N110" t="s">
        <v>1241</v>
      </c>
    </row>
    <row r="111" spans="1:14">
      <c r="A111" s="1" t="s">
        <v>1449</v>
      </c>
      <c r="B111" s="1" t="s">
        <v>1450</v>
      </c>
      <c r="C111" s="1" t="s">
        <v>1089</v>
      </c>
      <c r="D111" s="1" t="s">
        <v>1090</v>
      </c>
      <c r="E111" s="1" t="s">
        <v>1091</v>
      </c>
      <c r="F111" s="1" t="s">
        <v>1105</v>
      </c>
      <c r="G111" s="1" t="s">
        <v>1106</v>
      </c>
      <c r="H111">
        <v>36</v>
      </c>
      <c r="I111">
        <v>41343</v>
      </c>
      <c r="J111">
        <v>48117</v>
      </c>
      <c r="K111">
        <v>0</v>
      </c>
      <c r="L111" s="1" t="s">
        <v>1221</v>
      </c>
      <c r="M111" s="1" t="s">
        <v>1298</v>
      </c>
      <c r="N111" t="s">
        <v>1241</v>
      </c>
    </row>
    <row r="112" spans="1:14">
      <c r="A112" s="1" t="s">
        <v>1451</v>
      </c>
      <c r="B112" s="1" t="s">
        <v>1452</v>
      </c>
      <c r="C112" s="1" t="s">
        <v>1110</v>
      </c>
      <c r="D112" s="1" t="s">
        <v>1148</v>
      </c>
      <c r="E112" s="1" t="s">
        <v>1091</v>
      </c>
      <c r="F112" s="1" t="s">
        <v>1105</v>
      </c>
      <c r="G112" s="1" t="s">
        <v>1084</v>
      </c>
      <c r="H112">
        <v>47</v>
      </c>
      <c r="I112">
        <v>38504</v>
      </c>
      <c r="J112">
        <v>192753</v>
      </c>
      <c r="K112">
        <v>0.17</v>
      </c>
      <c r="L112" s="1" t="s">
        <v>1100</v>
      </c>
      <c r="M112" s="1" t="s">
        <v>1123</v>
      </c>
      <c r="N112" t="s">
        <v>1241</v>
      </c>
    </row>
    <row r="113" spans="1:14">
      <c r="A113" s="1" t="s">
        <v>1453</v>
      </c>
      <c r="B113" s="1" t="s">
        <v>1454</v>
      </c>
      <c r="C113" s="1" t="s">
        <v>1119</v>
      </c>
      <c r="D113" s="1" t="s">
        <v>1090</v>
      </c>
      <c r="E113" s="1" t="s">
        <v>1082</v>
      </c>
      <c r="F113" s="1" t="s">
        <v>1083</v>
      </c>
      <c r="G113" s="1" t="s">
        <v>1084</v>
      </c>
      <c r="H113">
        <v>28</v>
      </c>
      <c r="I113">
        <v>44289</v>
      </c>
      <c r="J113">
        <v>85206</v>
      </c>
      <c r="K113">
        <v>0</v>
      </c>
      <c r="L113" s="1" t="s">
        <v>1100</v>
      </c>
      <c r="M113" s="1" t="s">
        <v>1123</v>
      </c>
      <c r="N113">
        <v>44780</v>
      </c>
    </row>
    <row r="114" spans="1:14">
      <c r="A114" s="1" t="s">
        <v>1455</v>
      </c>
      <c r="B114" s="1" t="s">
        <v>1456</v>
      </c>
      <c r="C114" s="1" t="s">
        <v>1177</v>
      </c>
      <c r="D114" s="1" t="s">
        <v>1090</v>
      </c>
      <c r="E114" s="1" t="s">
        <v>1082</v>
      </c>
      <c r="F114" s="1" t="s">
        <v>1083</v>
      </c>
      <c r="G114" s="1" t="s">
        <v>1106</v>
      </c>
      <c r="H114">
        <v>30</v>
      </c>
      <c r="I114">
        <v>43282</v>
      </c>
      <c r="J114">
        <v>58290</v>
      </c>
      <c r="K114">
        <v>0</v>
      </c>
      <c r="L114" s="1" t="s">
        <v>1085</v>
      </c>
      <c r="M114" s="1" t="s">
        <v>1093</v>
      </c>
      <c r="N114" t="s">
        <v>1241</v>
      </c>
    </row>
    <row r="115" spans="1:14">
      <c r="A115" s="1" t="s">
        <v>1457</v>
      </c>
      <c r="B115" s="1" t="s">
        <v>1458</v>
      </c>
      <c r="C115" s="1" t="s">
        <v>1140</v>
      </c>
      <c r="D115" s="1" t="s">
        <v>1097</v>
      </c>
      <c r="E115" s="1" t="s">
        <v>1098</v>
      </c>
      <c r="F115" s="1" t="s">
        <v>1105</v>
      </c>
      <c r="G115" s="1" t="s">
        <v>1084</v>
      </c>
      <c r="H115">
        <v>58</v>
      </c>
      <c r="I115" t="s">
        <v>1459</v>
      </c>
      <c r="J115">
        <v>41946</v>
      </c>
      <c r="K115">
        <v>0</v>
      </c>
      <c r="L115" s="1" t="s">
        <v>1085</v>
      </c>
      <c r="M115" s="1" t="s">
        <v>1116</v>
      </c>
      <c r="N115" t="s">
        <v>1241</v>
      </c>
    </row>
    <row r="116" spans="1:14">
      <c r="A116" s="1" t="s">
        <v>1460</v>
      </c>
      <c r="B116" s="1" t="s">
        <v>1461</v>
      </c>
      <c r="C116" s="1" t="s">
        <v>1165</v>
      </c>
      <c r="D116" s="1" t="s">
        <v>1097</v>
      </c>
      <c r="E116" s="1" t="s">
        <v>1091</v>
      </c>
      <c r="F116" s="1" t="s">
        <v>1105</v>
      </c>
      <c r="G116" s="1" t="s">
        <v>1084</v>
      </c>
      <c r="H116">
        <v>56</v>
      </c>
      <c r="I116" t="s">
        <v>1462</v>
      </c>
      <c r="J116">
        <v>79388</v>
      </c>
      <c r="K116">
        <v>0</v>
      </c>
      <c r="L116" s="1" t="s">
        <v>1100</v>
      </c>
      <c r="M116" s="1" t="s">
        <v>1188</v>
      </c>
      <c r="N116" t="s">
        <v>1241</v>
      </c>
    </row>
    <row r="117" spans="1:14">
      <c r="A117" s="1" t="s">
        <v>1463</v>
      </c>
      <c r="B117" s="1" t="s">
        <v>1464</v>
      </c>
      <c r="C117" s="1" t="s">
        <v>1096</v>
      </c>
      <c r="D117" s="1" t="s">
        <v>1097</v>
      </c>
      <c r="E117" s="1" t="s">
        <v>1091</v>
      </c>
      <c r="F117" s="1" t="s">
        <v>1105</v>
      </c>
      <c r="G117" s="1" t="s">
        <v>1084</v>
      </c>
      <c r="H117">
        <v>65</v>
      </c>
      <c r="I117" t="s">
        <v>1465</v>
      </c>
      <c r="J117">
        <v>83854</v>
      </c>
      <c r="K117">
        <v>0</v>
      </c>
      <c r="L117" s="1" t="s">
        <v>1085</v>
      </c>
      <c r="M117" s="1" t="s">
        <v>1107</v>
      </c>
      <c r="N117" t="s">
        <v>1241</v>
      </c>
    </row>
    <row r="118" spans="1:14">
      <c r="A118" s="1" t="s">
        <v>1466</v>
      </c>
      <c r="B118" s="1" t="s">
        <v>1467</v>
      </c>
      <c r="C118" s="1" t="s">
        <v>1152</v>
      </c>
      <c r="D118" s="1" t="s">
        <v>1097</v>
      </c>
      <c r="E118" s="1" t="s">
        <v>1121</v>
      </c>
      <c r="F118" s="1" t="s">
        <v>1105</v>
      </c>
      <c r="G118" s="1" t="s">
        <v>1133</v>
      </c>
      <c r="H118">
        <v>29</v>
      </c>
      <c r="I118" t="s">
        <v>1468</v>
      </c>
      <c r="J118">
        <v>126550</v>
      </c>
      <c r="K118">
        <v>0.15</v>
      </c>
      <c r="L118" s="1" t="s">
        <v>1085</v>
      </c>
      <c r="M118" s="1" t="s">
        <v>1137</v>
      </c>
      <c r="N118" t="s">
        <v>1241</v>
      </c>
    </row>
    <row r="119" spans="1:14">
      <c r="A119" s="1" t="s">
        <v>1469</v>
      </c>
      <c r="B119" s="1" t="s">
        <v>1470</v>
      </c>
      <c r="C119" s="1" t="s">
        <v>1110</v>
      </c>
      <c r="D119" s="1" t="s">
        <v>1208</v>
      </c>
      <c r="E119" s="1" t="s">
        <v>1098</v>
      </c>
      <c r="F119" s="1" t="s">
        <v>1105</v>
      </c>
      <c r="G119" s="1" t="s">
        <v>1106</v>
      </c>
      <c r="H119">
        <v>60</v>
      </c>
      <c r="I119">
        <v>33979</v>
      </c>
      <c r="J119">
        <v>199705</v>
      </c>
      <c r="K119">
        <v>0.26</v>
      </c>
      <c r="L119" s="1" t="s">
        <v>1221</v>
      </c>
      <c r="M119" s="1" t="s">
        <v>1222</v>
      </c>
      <c r="N119" t="s">
        <v>1241</v>
      </c>
    </row>
    <row r="120" spans="1:14">
      <c r="A120" s="1" t="s">
        <v>1471</v>
      </c>
      <c r="B120" s="1" t="s">
        <v>1472</v>
      </c>
      <c r="C120" s="1" t="s">
        <v>1160</v>
      </c>
      <c r="D120" s="1" t="s">
        <v>1090</v>
      </c>
      <c r="E120" s="1" t="s">
        <v>1121</v>
      </c>
      <c r="F120" s="1" t="s">
        <v>1105</v>
      </c>
      <c r="G120" s="1" t="s">
        <v>1084</v>
      </c>
      <c r="H120">
        <v>31</v>
      </c>
      <c r="I120">
        <v>43712</v>
      </c>
      <c r="J120">
        <v>201235</v>
      </c>
      <c r="K120">
        <v>0.32</v>
      </c>
      <c r="L120" s="1" t="s">
        <v>1085</v>
      </c>
      <c r="M120" s="1" t="s">
        <v>1112</v>
      </c>
      <c r="N120" t="s">
        <v>1241</v>
      </c>
    </row>
    <row r="121" spans="1:14">
      <c r="A121" s="1" t="s">
        <v>1473</v>
      </c>
      <c r="B121" s="1" t="s">
        <v>1474</v>
      </c>
      <c r="C121" s="1" t="s">
        <v>1110</v>
      </c>
      <c r="D121" s="1" t="s">
        <v>1081</v>
      </c>
      <c r="E121" s="1" t="s">
        <v>1121</v>
      </c>
      <c r="F121" s="1" t="s">
        <v>1105</v>
      </c>
      <c r="G121" s="1" t="s">
        <v>1084</v>
      </c>
      <c r="H121">
        <v>45</v>
      </c>
      <c r="I121" t="s">
        <v>1475</v>
      </c>
      <c r="J121">
        <v>182717</v>
      </c>
      <c r="K121">
        <v>0.26</v>
      </c>
      <c r="L121" s="1" t="s">
        <v>1085</v>
      </c>
      <c r="M121" s="1" t="s">
        <v>1086</v>
      </c>
      <c r="N121" t="s">
        <v>1241</v>
      </c>
    </row>
    <row r="122" spans="1:14">
      <c r="A122" s="1" t="s">
        <v>1476</v>
      </c>
      <c r="B122" s="1" t="s">
        <v>1477</v>
      </c>
      <c r="C122" s="1" t="s">
        <v>1285</v>
      </c>
      <c r="D122" s="1" t="s">
        <v>1097</v>
      </c>
      <c r="E122" s="1" t="s">
        <v>1098</v>
      </c>
      <c r="F122" s="1" t="s">
        <v>1083</v>
      </c>
      <c r="G122" s="1" t="s">
        <v>1153</v>
      </c>
      <c r="H122">
        <v>30</v>
      </c>
      <c r="I122">
        <v>43048</v>
      </c>
      <c r="J122">
        <v>79975</v>
      </c>
      <c r="K122">
        <v>0</v>
      </c>
      <c r="L122" s="1" t="s">
        <v>1085</v>
      </c>
      <c r="M122" s="1" t="s">
        <v>1093</v>
      </c>
      <c r="N122" t="s">
        <v>1241</v>
      </c>
    </row>
    <row r="123" spans="1:14">
      <c r="A123" s="1" t="s">
        <v>1478</v>
      </c>
      <c r="B123" s="1" t="s">
        <v>1479</v>
      </c>
      <c r="C123" s="1" t="s">
        <v>1110</v>
      </c>
      <c r="D123" s="1" t="s">
        <v>1208</v>
      </c>
      <c r="E123" s="1" t="s">
        <v>1121</v>
      </c>
      <c r="F123" s="1" t="s">
        <v>1083</v>
      </c>
      <c r="G123" s="1" t="s">
        <v>1106</v>
      </c>
      <c r="H123">
        <v>36</v>
      </c>
      <c r="I123" t="s">
        <v>1480</v>
      </c>
      <c r="J123">
        <v>196554</v>
      </c>
      <c r="K123">
        <v>0.2</v>
      </c>
      <c r="L123" s="1" t="s">
        <v>1221</v>
      </c>
      <c r="M123" s="1" t="s">
        <v>1222</v>
      </c>
      <c r="N123" t="s">
        <v>1241</v>
      </c>
    </row>
    <row r="124" spans="1:14">
      <c r="A124" s="1" t="s">
        <v>1481</v>
      </c>
      <c r="B124" s="1" t="s">
        <v>1482</v>
      </c>
      <c r="C124" s="1" t="s">
        <v>1160</v>
      </c>
      <c r="D124" s="1" t="s">
        <v>1097</v>
      </c>
      <c r="E124" s="1" t="s">
        <v>1091</v>
      </c>
      <c r="F124" s="1" t="s">
        <v>1083</v>
      </c>
      <c r="G124" s="1" t="s">
        <v>1153</v>
      </c>
      <c r="H124">
        <v>39</v>
      </c>
      <c r="I124" t="s">
        <v>1483</v>
      </c>
      <c r="J124">
        <v>239395</v>
      </c>
      <c r="K124">
        <v>0.33</v>
      </c>
      <c r="L124" s="1" t="s">
        <v>1085</v>
      </c>
      <c r="M124" s="1" t="s">
        <v>1107</v>
      </c>
      <c r="N124" t="s">
        <v>1241</v>
      </c>
    </row>
    <row r="125" spans="1:14">
      <c r="A125" s="1" t="s">
        <v>1484</v>
      </c>
      <c r="B125" s="1" t="s">
        <v>1485</v>
      </c>
      <c r="C125" s="1" t="s">
        <v>1126</v>
      </c>
      <c r="D125" s="1" t="s">
        <v>1090</v>
      </c>
      <c r="E125" s="1" t="s">
        <v>1121</v>
      </c>
      <c r="F125" s="1" t="s">
        <v>1083</v>
      </c>
      <c r="G125" s="1" t="s">
        <v>1084</v>
      </c>
      <c r="H125">
        <v>44</v>
      </c>
      <c r="I125" t="s">
        <v>1486</v>
      </c>
      <c r="J125">
        <v>53703</v>
      </c>
      <c r="K125">
        <v>0</v>
      </c>
      <c r="L125" s="1" t="s">
        <v>1100</v>
      </c>
      <c r="M125" s="1" t="s">
        <v>1188</v>
      </c>
      <c r="N125" t="s">
        <v>1241</v>
      </c>
    </row>
    <row r="126" spans="1:14">
      <c r="A126" s="1" t="s">
        <v>1487</v>
      </c>
      <c r="B126" s="1" t="s">
        <v>1488</v>
      </c>
      <c r="C126" s="1" t="s">
        <v>1136</v>
      </c>
      <c r="D126" s="1" t="s">
        <v>1097</v>
      </c>
      <c r="E126" s="1" t="s">
        <v>1082</v>
      </c>
      <c r="F126" s="1" t="s">
        <v>1083</v>
      </c>
      <c r="G126" s="1" t="s">
        <v>1084</v>
      </c>
      <c r="H126">
        <v>53</v>
      </c>
      <c r="I126" t="s">
        <v>1489</v>
      </c>
      <c r="J126">
        <v>123480</v>
      </c>
      <c r="K126">
        <v>0.08</v>
      </c>
      <c r="L126" s="1" t="s">
        <v>1100</v>
      </c>
      <c r="M126" s="1" t="s">
        <v>1188</v>
      </c>
      <c r="N126" t="s">
        <v>1241</v>
      </c>
    </row>
    <row r="127" spans="1:14">
      <c r="A127" s="1" t="s">
        <v>1490</v>
      </c>
      <c r="B127" s="1" t="s">
        <v>1491</v>
      </c>
      <c r="C127" s="1" t="s">
        <v>1269</v>
      </c>
      <c r="D127" s="1" t="s">
        <v>1097</v>
      </c>
      <c r="E127" s="1" t="s">
        <v>1121</v>
      </c>
      <c r="F127" s="1" t="s">
        <v>1105</v>
      </c>
      <c r="G127" s="1" t="s">
        <v>1084</v>
      </c>
      <c r="H127">
        <v>46</v>
      </c>
      <c r="I127">
        <v>44440</v>
      </c>
      <c r="J127">
        <v>41197</v>
      </c>
      <c r="K127">
        <v>0</v>
      </c>
      <c r="L127" s="1" t="s">
        <v>1100</v>
      </c>
      <c r="M127" s="1" t="s">
        <v>1188</v>
      </c>
      <c r="N127" t="s">
        <v>1241</v>
      </c>
    </row>
    <row r="128" spans="1:14">
      <c r="A128" s="1" t="s">
        <v>1492</v>
      </c>
      <c r="B128" s="1" t="s">
        <v>1493</v>
      </c>
      <c r="C128" s="1" t="s">
        <v>1177</v>
      </c>
      <c r="D128" s="1" t="s">
        <v>1090</v>
      </c>
      <c r="E128" s="1" t="s">
        <v>1091</v>
      </c>
      <c r="F128" s="1" t="s">
        <v>1083</v>
      </c>
      <c r="G128" s="1" t="s">
        <v>1106</v>
      </c>
      <c r="H128">
        <v>30</v>
      </c>
      <c r="I128" t="s">
        <v>1494</v>
      </c>
      <c r="J128">
        <v>72463</v>
      </c>
      <c r="K128">
        <v>0</v>
      </c>
      <c r="L128" s="1" t="s">
        <v>1221</v>
      </c>
      <c r="M128" s="1" t="s">
        <v>1443</v>
      </c>
      <c r="N128" t="s">
        <v>1241</v>
      </c>
    </row>
    <row r="129" spans="1:14">
      <c r="A129" s="1" t="s">
        <v>1495</v>
      </c>
      <c r="B129" s="1" t="s">
        <v>1496</v>
      </c>
      <c r="C129" s="1" t="s">
        <v>1446</v>
      </c>
      <c r="D129" s="1" t="s">
        <v>1081</v>
      </c>
      <c r="E129" s="1" t="s">
        <v>1091</v>
      </c>
      <c r="F129" s="1" t="s">
        <v>1105</v>
      </c>
      <c r="G129" s="1" t="s">
        <v>1084</v>
      </c>
      <c r="H129">
        <v>28</v>
      </c>
      <c r="I129">
        <v>43563</v>
      </c>
      <c r="J129">
        <v>87675</v>
      </c>
      <c r="K129">
        <v>0</v>
      </c>
      <c r="L129" s="1" t="s">
        <v>1100</v>
      </c>
      <c r="M129" s="1" t="s">
        <v>1188</v>
      </c>
      <c r="N129" t="s">
        <v>1241</v>
      </c>
    </row>
    <row r="130" spans="1:14">
      <c r="A130" s="1" t="s">
        <v>1497</v>
      </c>
      <c r="B130" s="1" t="s">
        <v>1498</v>
      </c>
      <c r="C130" s="1" t="s">
        <v>1089</v>
      </c>
      <c r="D130" s="1" t="s">
        <v>1120</v>
      </c>
      <c r="E130" s="1" t="s">
        <v>1121</v>
      </c>
      <c r="F130" s="1" t="s">
        <v>1105</v>
      </c>
      <c r="G130" s="1" t="s">
        <v>1084</v>
      </c>
      <c r="H130">
        <v>35</v>
      </c>
      <c r="I130" t="s">
        <v>1499</v>
      </c>
      <c r="J130">
        <v>55833</v>
      </c>
      <c r="K130">
        <v>0</v>
      </c>
      <c r="L130" s="1" t="s">
        <v>1100</v>
      </c>
      <c r="M130" s="1" t="s">
        <v>1129</v>
      </c>
      <c r="N130" t="s">
        <v>1241</v>
      </c>
    </row>
    <row r="131" spans="1:14">
      <c r="A131" s="1" t="s">
        <v>1500</v>
      </c>
      <c r="B131" s="1" t="s">
        <v>1501</v>
      </c>
      <c r="C131" s="1" t="s">
        <v>1126</v>
      </c>
      <c r="D131" s="1" t="s">
        <v>1127</v>
      </c>
      <c r="E131" s="1" t="s">
        <v>1098</v>
      </c>
      <c r="F131" s="1" t="s">
        <v>1105</v>
      </c>
      <c r="G131" s="1" t="s">
        <v>1084</v>
      </c>
      <c r="H131">
        <v>58</v>
      </c>
      <c r="I131" t="s">
        <v>1502</v>
      </c>
      <c r="J131">
        <v>58208</v>
      </c>
      <c r="K131">
        <v>0</v>
      </c>
      <c r="L131" s="1" t="s">
        <v>1100</v>
      </c>
      <c r="M131" s="1" t="s">
        <v>1129</v>
      </c>
      <c r="N131" t="s">
        <v>1241</v>
      </c>
    </row>
    <row r="132" spans="1:14">
      <c r="A132" s="1" t="s">
        <v>1503</v>
      </c>
      <c r="B132" s="1" t="s">
        <v>1504</v>
      </c>
      <c r="C132" s="1" t="s">
        <v>1119</v>
      </c>
      <c r="D132" s="1" t="s">
        <v>1090</v>
      </c>
      <c r="E132" s="1" t="s">
        <v>1121</v>
      </c>
      <c r="F132" s="1" t="s">
        <v>1083</v>
      </c>
      <c r="G132" s="1" t="s">
        <v>1106</v>
      </c>
      <c r="H132">
        <v>47</v>
      </c>
      <c r="I132" t="s">
        <v>1505</v>
      </c>
      <c r="J132">
        <v>75633</v>
      </c>
      <c r="K132">
        <v>0</v>
      </c>
      <c r="L132" s="1" t="s">
        <v>1085</v>
      </c>
      <c r="M132" s="1" t="s">
        <v>1093</v>
      </c>
      <c r="N132" t="s">
        <v>1241</v>
      </c>
    </row>
    <row r="133" spans="1:14">
      <c r="A133" s="1" t="s">
        <v>1506</v>
      </c>
      <c r="B133" s="1" t="s">
        <v>1507</v>
      </c>
      <c r="C133" s="1" t="s">
        <v>1119</v>
      </c>
      <c r="D133" s="1" t="s">
        <v>1148</v>
      </c>
      <c r="E133" s="1" t="s">
        <v>1121</v>
      </c>
      <c r="F133" s="1" t="s">
        <v>1083</v>
      </c>
      <c r="G133" s="1" t="s">
        <v>1084</v>
      </c>
      <c r="H133">
        <v>43</v>
      </c>
      <c r="I133" t="s">
        <v>1508</v>
      </c>
      <c r="J133">
        <v>79090</v>
      </c>
      <c r="K133">
        <v>0</v>
      </c>
      <c r="L133" s="1" t="s">
        <v>1100</v>
      </c>
      <c r="M133" s="1" t="s">
        <v>1129</v>
      </c>
      <c r="N133" t="s">
        <v>1241</v>
      </c>
    </row>
    <row r="134" spans="1:14">
      <c r="A134" s="1" t="s">
        <v>1509</v>
      </c>
      <c r="B134" s="1" t="s">
        <v>1510</v>
      </c>
      <c r="C134" s="1" t="s">
        <v>1126</v>
      </c>
      <c r="D134" s="1" t="s">
        <v>1127</v>
      </c>
      <c r="E134" s="1" t="s">
        <v>1082</v>
      </c>
      <c r="F134" s="1" t="s">
        <v>1083</v>
      </c>
      <c r="G134" s="1" t="s">
        <v>1153</v>
      </c>
      <c r="H134">
        <v>47</v>
      </c>
      <c r="I134" t="s">
        <v>1511</v>
      </c>
      <c r="J134">
        <v>66138</v>
      </c>
      <c r="K134">
        <v>0</v>
      </c>
      <c r="L134" s="1" t="s">
        <v>1085</v>
      </c>
      <c r="M134" s="1" t="s">
        <v>1116</v>
      </c>
      <c r="N134" t="s">
        <v>1241</v>
      </c>
    </row>
    <row r="135" spans="1:14">
      <c r="A135" s="1" t="s">
        <v>1512</v>
      </c>
      <c r="B135" s="1" t="s">
        <v>1513</v>
      </c>
      <c r="C135" s="1" t="s">
        <v>1275</v>
      </c>
      <c r="D135" s="1" t="s">
        <v>1097</v>
      </c>
      <c r="E135" s="1" t="s">
        <v>1098</v>
      </c>
      <c r="F135" s="1" t="s">
        <v>1105</v>
      </c>
      <c r="G135" s="1" t="s">
        <v>1106</v>
      </c>
      <c r="H135">
        <v>57</v>
      </c>
      <c r="I135" t="s">
        <v>1514</v>
      </c>
      <c r="J135">
        <v>80728</v>
      </c>
      <c r="K135">
        <v>0</v>
      </c>
      <c r="L135" s="1" t="s">
        <v>1221</v>
      </c>
      <c r="M135" s="1" t="s">
        <v>1222</v>
      </c>
      <c r="N135" t="s">
        <v>1241</v>
      </c>
    </row>
    <row r="136" spans="1:14">
      <c r="A136" s="1" t="s">
        <v>1515</v>
      </c>
      <c r="B136" s="1" t="s">
        <v>1516</v>
      </c>
      <c r="C136" s="1" t="s">
        <v>1140</v>
      </c>
      <c r="D136" s="1" t="s">
        <v>1097</v>
      </c>
      <c r="E136" s="1" t="s">
        <v>1091</v>
      </c>
      <c r="F136" s="1" t="s">
        <v>1083</v>
      </c>
      <c r="G136" s="1" t="s">
        <v>1153</v>
      </c>
      <c r="H136">
        <v>47</v>
      </c>
      <c r="I136">
        <v>38354</v>
      </c>
      <c r="J136">
        <v>46202</v>
      </c>
      <c r="K136">
        <v>0</v>
      </c>
      <c r="L136" s="1" t="s">
        <v>1085</v>
      </c>
      <c r="M136" s="1" t="s">
        <v>1116</v>
      </c>
      <c r="N136" t="s">
        <v>1241</v>
      </c>
    </row>
    <row r="137" spans="1:14">
      <c r="A137" s="1" t="s">
        <v>1517</v>
      </c>
      <c r="B137" s="1" t="s">
        <v>1518</v>
      </c>
      <c r="C137" s="1" t="s">
        <v>1136</v>
      </c>
      <c r="D137" s="1" t="s">
        <v>1090</v>
      </c>
      <c r="E137" s="1" t="s">
        <v>1098</v>
      </c>
      <c r="F137" s="1" t="s">
        <v>1105</v>
      </c>
      <c r="G137" s="1" t="s">
        <v>1084</v>
      </c>
      <c r="H137">
        <v>50</v>
      </c>
      <c r="I137" t="s">
        <v>1519</v>
      </c>
      <c r="J137">
        <v>123096</v>
      </c>
      <c r="K137">
        <v>0.1</v>
      </c>
      <c r="L137" s="1" t="s">
        <v>1100</v>
      </c>
      <c r="M137" s="1" t="s">
        <v>1101</v>
      </c>
      <c r="N137" t="s">
        <v>1241</v>
      </c>
    </row>
    <row r="138" spans="1:14">
      <c r="A138" s="1" t="s">
        <v>1520</v>
      </c>
      <c r="B138" s="1" t="s">
        <v>1521</v>
      </c>
      <c r="C138" s="1" t="s">
        <v>1089</v>
      </c>
      <c r="D138" s="1" t="s">
        <v>1148</v>
      </c>
      <c r="E138" s="1" t="s">
        <v>1098</v>
      </c>
      <c r="F138" s="1" t="s">
        <v>1105</v>
      </c>
      <c r="G138" s="1" t="s">
        <v>1084</v>
      </c>
      <c r="H138">
        <v>27</v>
      </c>
      <c r="I138" t="s">
        <v>1522</v>
      </c>
      <c r="J138">
        <v>45989</v>
      </c>
      <c r="K138">
        <v>0</v>
      </c>
      <c r="L138" s="1" t="s">
        <v>1085</v>
      </c>
      <c r="M138" s="1" t="s">
        <v>1093</v>
      </c>
      <c r="N138" t="s">
        <v>1241</v>
      </c>
    </row>
    <row r="139" spans="1:14">
      <c r="A139" s="1" t="s">
        <v>1523</v>
      </c>
      <c r="B139" s="1" t="s">
        <v>1524</v>
      </c>
      <c r="C139" s="1" t="s">
        <v>1152</v>
      </c>
      <c r="D139" s="1" t="s">
        <v>1120</v>
      </c>
      <c r="E139" s="1" t="s">
        <v>1091</v>
      </c>
      <c r="F139" s="1" t="s">
        <v>1105</v>
      </c>
      <c r="G139" s="1" t="s">
        <v>1106</v>
      </c>
      <c r="H139">
        <v>26</v>
      </c>
      <c r="I139" t="s">
        <v>1525</v>
      </c>
      <c r="J139">
        <v>140756</v>
      </c>
      <c r="K139">
        <v>0.13</v>
      </c>
      <c r="L139" s="1" t="s">
        <v>1221</v>
      </c>
      <c r="M139" s="1" t="s">
        <v>1298</v>
      </c>
      <c r="N139" t="s">
        <v>1241</v>
      </c>
    </row>
    <row r="140" spans="1:14">
      <c r="A140" s="1" t="s">
        <v>1526</v>
      </c>
      <c r="B140" s="1" t="s">
        <v>1527</v>
      </c>
      <c r="C140" s="1" t="s">
        <v>1528</v>
      </c>
      <c r="D140" s="1" t="s">
        <v>1097</v>
      </c>
      <c r="E140" s="1" t="s">
        <v>1091</v>
      </c>
      <c r="F140" s="1" t="s">
        <v>1083</v>
      </c>
      <c r="G140" s="1" t="s">
        <v>1084</v>
      </c>
      <c r="H140">
        <v>43</v>
      </c>
      <c r="I140">
        <v>40059</v>
      </c>
      <c r="J140">
        <v>85261</v>
      </c>
      <c r="K140">
        <v>0</v>
      </c>
      <c r="L140" s="1" t="s">
        <v>1100</v>
      </c>
      <c r="M140" s="1" t="s">
        <v>1129</v>
      </c>
      <c r="N140" t="s">
        <v>1241</v>
      </c>
    </row>
    <row r="141" spans="1:14">
      <c r="A141" s="1" t="s">
        <v>1529</v>
      </c>
      <c r="B141" s="1" t="s">
        <v>1530</v>
      </c>
      <c r="C141" s="1" t="s">
        <v>1160</v>
      </c>
      <c r="D141" s="1" t="s">
        <v>1120</v>
      </c>
      <c r="E141" s="1" t="s">
        <v>1091</v>
      </c>
      <c r="F141" s="1" t="s">
        <v>1105</v>
      </c>
      <c r="G141" s="1" t="s">
        <v>1106</v>
      </c>
      <c r="H141">
        <v>49</v>
      </c>
      <c r="I141" t="s">
        <v>1531</v>
      </c>
      <c r="J141">
        <v>198222</v>
      </c>
      <c r="K141">
        <v>0.34</v>
      </c>
      <c r="L141" s="1" t="s">
        <v>1221</v>
      </c>
      <c r="M141" s="1" t="s">
        <v>1298</v>
      </c>
      <c r="N141" t="s">
        <v>1241</v>
      </c>
    </row>
    <row r="142" spans="1:14">
      <c r="A142" s="1" t="s">
        <v>1532</v>
      </c>
      <c r="B142" s="1" t="s">
        <v>1533</v>
      </c>
      <c r="C142" s="1" t="s">
        <v>1152</v>
      </c>
      <c r="D142" s="1" t="s">
        <v>1090</v>
      </c>
      <c r="E142" s="1" t="s">
        <v>1098</v>
      </c>
      <c r="F142" s="1" t="s">
        <v>1105</v>
      </c>
      <c r="G142" s="1" t="s">
        <v>1133</v>
      </c>
      <c r="H142">
        <v>36</v>
      </c>
      <c r="I142">
        <v>42772</v>
      </c>
      <c r="J142">
        <v>150825</v>
      </c>
      <c r="K142">
        <v>0.1</v>
      </c>
      <c r="L142" s="1" t="s">
        <v>1085</v>
      </c>
      <c r="M142" s="1" t="s">
        <v>1086</v>
      </c>
      <c r="N142" t="s">
        <v>1241</v>
      </c>
    </row>
    <row r="143" spans="1:14">
      <c r="A143" s="1" t="s">
        <v>1534</v>
      </c>
      <c r="B143" s="1" t="s">
        <v>1535</v>
      </c>
      <c r="C143" s="1" t="s">
        <v>1089</v>
      </c>
      <c r="D143" s="1" t="s">
        <v>1120</v>
      </c>
      <c r="E143" s="1" t="s">
        <v>1091</v>
      </c>
      <c r="F143" s="1" t="s">
        <v>1105</v>
      </c>
      <c r="G143" s="1" t="s">
        <v>1106</v>
      </c>
      <c r="H143">
        <v>51</v>
      </c>
      <c r="I143" t="s">
        <v>1536</v>
      </c>
      <c r="J143">
        <v>59311</v>
      </c>
      <c r="K143">
        <v>0</v>
      </c>
      <c r="L143" s="1" t="s">
        <v>1221</v>
      </c>
      <c r="M143" s="1" t="s">
        <v>1298</v>
      </c>
      <c r="N143" t="s">
        <v>1241</v>
      </c>
    </row>
    <row r="144" spans="1:14">
      <c r="A144" s="1" t="s">
        <v>1537</v>
      </c>
      <c r="B144" s="1" t="s">
        <v>1538</v>
      </c>
      <c r="C144" s="1" t="s">
        <v>1089</v>
      </c>
      <c r="D144" s="1" t="s">
        <v>1120</v>
      </c>
      <c r="E144" s="1" t="s">
        <v>1091</v>
      </c>
      <c r="F144" s="1" t="s">
        <v>1105</v>
      </c>
      <c r="G144" s="1" t="s">
        <v>1106</v>
      </c>
      <c r="H144">
        <v>46</v>
      </c>
      <c r="I144">
        <v>37599</v>
      </c>
      <c r="J144">
        <v>44411</v>
      </c>
      <c r="K144">
        <v>0</v>
      </c>
      <c r="L144" s="1" t="s">
        <v>1221</v>
      </c>
      <c r="M144" s="1" t="s">
        <v>1443</v>
      </c>
      <c r="N144" t="s">
        <v>1241</v>
      </c>
    </row>
    <row r="145" spans="1:14">
      <c r="A145" s="1" t="s">
        <v>1539</v>
      </c>
      <c r="B145" s="1" t="s">
        <v>1540</v>
      </c>
      <c r="C145" s="1" t="s">
        <v>1126</v>
      </c>
      <c r="D145" s="1" t="s">
        <v>1127</v>
      </c>
      <c r="E145" s="1" t="s">
        <v>1082</v>
      </c>
      <c r="F145" s="1" t="s">
        <v>1083</v>
      </c>
      <c r="G145" s="1" t="s">
        <v>1106</v>
      </c>
      <c r="H145">
        <v>37</v>
      </c>
      <c r="I145" t="s">
        <v>1541</v>
      </c>
      <c r="J145">
        <v>69408</v>
      </c>
      <c r="K145">
        <v>0</v>
      </c>
      <c r="L145" s="1" t="s">
        <v>1085</v>
      </c>
      <c r="M145" s="1" t="s">
        <v>1093</v>
      </c>
      <c r="N145" t="s">
        <v>1241</v>
      </c>
    </row>
    <row r="146" spans="1:14">
      <c r="A146" s="1" t="s">
        <v>1542</v>
      </c>
      <c r="B146" s="1" t="s">
        <v>1543</v>
      </c>
      <c r="C146" s="1" t="s">
        <v>1119</v>
      </c>
      <c r="D146" s="1" t="s">
        <v>1127</v>
      </c>
      <c r="E146" s="1" t="s">
        <v>1082</v>
      </c>
      <c r="F146" s="1" t="s">
        <v>1083</v>
      </c>
      <c r="G146" s="1" t="s">
        <v>1106</v>
      </c>
      <c r="H146">
        <v>43</v>
      </c>
      <c r="I146" t="s">
        <v>1544</v>
      </c>
      <c r="J146">
        <v>96759</v>
      </c>
      <c r="K146">
        <v>0</v>
      </c>
      <c r="L146" s="1" t="s">
        <v>1221</v>
      </c>
      <c r="M146" s="1" t="s">
        <v>1443</v>
      </c>
      <c r="N146" t="s">
        <v>1241</v>
      </c>
    </row>
    <row r="147" spans="1:14">
      <c r="A147" s="1" t="s">
        <v>1545</v>
      </c>
      <c r="B147" s="1" t="s">
        <v>1546</v>
      </c>
      <c r="C147" s="1" t="s">
        <v>1110</v>
      </c>
      <c r="D147" s="1" t="s">
        <v>1148</v>
      </c>
      <c r="E147" s="1" t="s">
        <v>1121</v>
      </c>
      <c r="F147" s="1" t="s">
        <v>1105</v>
      </c>
      <c r="G147" s="1" t="s">
        <v>1153</v>
      </c>
      <c r="H147">
        <v>53</v>
      </c>
      <c r="I147">
        <v>41555</v>
      </c>
      <c r="J147">
        <v>163480</v>
      </c>
      <c r="K147">
        <v>0.15</v>
      </c>
      <c r="L147" s="1" t="s">
        <v>1085</v>
      </c>
      <c r="M147" s="1" t="s">
        <v>1086</v>
      </c>
      <c r="N147" t="s">
        <v>1241</v>
      </c>
    </row>
    <row r="148" spans="1:14">
      <c r="A148" s="1" t="s">
        <v>1547</v>
      </c>
      <c r="B148" s="1" t="s">
        <v>1548</v>
      </c>
      <c r="C148" s="1" t="s">
        <v>1132</v>
      </c>
      <c r="D148" s="1" t="s">
        <v>1097</v>
      </c>
      <c r="E148" s="1" t="s">
        <v>1098</v>
      </c>
      <c r="F148" s="1" t="s">
        <v>1105</v>
      </c>
      <c r="G148" s="1" t="s">
        <v>1084</v>
      </c>
      <c r="H148">
        <v>58</v>
      </c>
      <c r="I148" t="s">
        <v>1549</v>
      </c>
      <c r="J148">
        <v>91132</v>
      </c>
      <c r="K148">
        <v>0</v>
      </c>
      <c r="L148" s="1" t="s">
        <v>1100</v>
      </c>
      <c r="M148" s="1" t="s">
        <v>1188</v>
      </c>
      <c r="N148" t="s">
        <v>1241</v>
      </c>
    </row>
    <row r="149" spans="1:14">
      <c r="A149" s="1" t="s">
        <v>1550</v>
      </c>
      <c r="B149" s="1" t="s">
        <v>1551</v>
      </c>
      <c r="C149" s="1" t="s">
        <v>1136</v>
      </c>
      <c r="D149" s="1" t="s">
        <v>1148</v>
      </c>
      <c r="E149" s="1" t="s">
        <v>1091</v>
      </c>
      <c r="F149" s="1" t="s">
        <v>1083</v>
      </c>
      <c r="G149" s="1" t="s">
        <v>1133</v>
      </c>
      <c r="H149">
        <v>57</v>
      </c>
      <c r="I149">
        <v>35345</v>
      </c>
      <c r="J149">
        <v>122825</v>
      </c>
      <c r="K149">
        <v>0.08</v>
      </c>
      <c r="L149" s="1" t="s">
        <v>1085</v>
      </c>
      <c r="M149" s="1" t="s">
        <v>1137</v>
      </c>
      <c r="N149" t="s">
        <v>1241</v>
      </c>
    </row>
    <row r="150" spans="1:14">
      <c r="A150" s="1" t="s">
        <v>1552</v>
      </c>
      <c r="B150" s="1" t="s">
        <v>1553</v>
      </c>
      <c r="C150" s="1" t="s">
        <v>1165</v>
      </c>
      <c r="D150" s="1" t="s">
        <v>1097</v>
      </c>
      <c r="E150" s="1" t="s">
        <v>1082</v>
      </c>
      <c r="F150" s="1" t="s">
        <v>1105</v>
      </c>
      <c r="G150" s="1" t="s">
        <v>1106</v>
      </c>
      <c r="H150">
        <v>31</v>
      </c>
      <c r="I150" t="s">
        <v>1554</v>
      </c>
      <c r="J150">
        <v>73612</v>
      </c>
      <c r="K150">
        <v>0</v>
      </c>
      <c r="L150" s="1" t="s">
        <v>1221</v>
      </c>
      <c r="M150" s="1" t="s">
        <v>1222</v>
      </c>
      <c r="N150" t="s">
        <v>1241</v>
      </c>
    </row>
    <row r="151" spans="1:14">
      <c r="A151" s="1" t="s">
        <v>1555</v>
      </c>
      <c r="B151" s="1" t="s">
        <v>1556</v>
      </c>
      <c r="C151" s="1" t="s">
        <v>1177</v>
      </c>
      <c r="D151" s="1" t="s">
        <v>1090</v>
      </c>
      <c r="E151" s="1" t="s">
        <v>1082</v>
      </c>
      <c r="F151" s="1" t="s">
        <v>1083</v>
      </c>
      <c r="G151" s="1" t="s">
        <v>1084</v>
      </c>
      <c r="H151">
        <v>40</v>
      </c>
      <c r="I151" t="s">
        <v>1557</v>
      </c>
      <c r="J151">
        <v>70561</v>
      </c>
      <c r="K151">
        <v>0</v>
      </c>
      <c r="L151" s="1" t="s">
        <v>1100</v>
      </c>
      <c r="M151" s="1" t="s">
        <v>1123</v>
      </c>
      <c r="N151" t="s">
        <v>1241</v>
      </c>
    </row>
    <row r="152" spans="1:14">
      <c r="A152" s="1" t="s">
        <v>1558</v>
      </c>
      <c r="B152" s="1" t="s">
        <v>1559</v>
      </c>
      <c r="C152" s="1" t="s">
        <v>1560</v>
      </c>
      <c r="D152" s="1" t="s">
        <v>1097</v>
      </c>
      <c r="E152" s="1" t="s">
        <v>1098</v>
      </c>
      <c r="F152" s="1" t="s">
        <v>1083</v>
      </c>
      <c r="G152" s="1" t="s">
        <v>1153</v>
      </c>
      <c r="H152">
        <v>47</v>
      </c>
      <c r="I152" t="s">
        <v>1561</v>
      </c>
      <c r="J152">
        <v>60331</v>
      </c>
      <c r="K152">
        <v>0</v>
      </c>
      <c r="L152" s="1" t="s">
        <v>1085</v>
      </c>
      <c r="M152" s="1" t="s">
        <v>1137</v>
      </c>
      <c r="N152" t="s">
        <v>1241</v>
      </c>
    </row>
    <row r="153" spans="1:14">
      <c r="A153" s="1" t="s">
        <v>1562</v>
      </c>
      <c r="B153" s="1" t="s">
        <v>1563</v>
      </c>
      <c r="C153" s="1" t="s">
        <v>1140</v>
      </c>
      <c r="D153" s="1" t="s">
        <v>1097</v>
      </c>
      <c r="E153" s="1" t="s">
        <v>1082</v>
      </c>
      <c r="F153" s="1" t="s">
        <v>1105</v>
      </c>
      <c r="G153" s="1" t="s">
        <v>1106</v>
      </c>
      <c r="H153">
        <v>51</v>
      </c>
      <c r="I153">
        <v>39207</v>
      </c>
      <c r="J153">
        <v>48772</v>
      </c>
      <c r="K153">
        <v>0</v>
      </c>
      <c r="L153" s="1" t="s">
        <v>1221</v>
      </c>
      <c r="M153" s="1" t="s">
        <v>1222</v>
      </c>
      <c r="N153" t="s">
        <v>1241</v>
      </c>
    </row>
    <row r="154" spans="1:14">
      <c r="A154" s="1" t="s">
        <v>1564</v>
      </c>
      <c r="B154" s="1" t="s">
        <v>1565</v>
      </c>
      <c r="C154" s="1" t="s">
        <v>1096</v>
      </c>
      <c r="D154" s="1" t="s">
        <v>1097</v>
      </c>
      <c r="E154" s="1" t="s">
        <v>1098</v>
      </c>
      <c r="F154" s="1" t="s">
        <v>1083</v>
      </c>
      <c r="G154" s="1" t="s">
        <v>1084</v>
      </c>
      <c r="H154">
        <v>57</v>
      </c>
      <c r="I154">
        <v>43871</v>
      </c>
      <c r="J154">
        <v>90599</v>
      </c>
      <c r="K154">
        <v>0</v>
      </c>
      <c r="L154" s="1" t="s">
        <v>1100</v>
      </c>
      <c r="M154" s="1" t="s">
        <v>1123</v>
      </c>
      <c r="N154" t="s">
        <v>1241</v>
      </c>
    </row>
    <row r="155" spans="1:14">
      <c r="A155" s="1" t="s">
        <v>1566</v>
      </c>
      <c r="B155" s="1" t="s">
        <v>1567</v>
      </c>
      <c r="C155" s="1" t="s">
        <v>1269</v>
      </c>
      <c r="D155" s="1" t="s">
        <v>1097</v>
      </c>
      <c r="E155" s="1" t="s">
        <v>1091</v>
      </c>
      <c r="F155" s="1" t="s">
        <v>1083</v>
      </c>
      <c r="G155" s="1" t="s">
        <v>1133</v>
      </c>
      <c r="H155">
        <v>46</v>
      </c>
      <c r="I155" t="s">
        <v>1568</v>
      </c>
      <c r="J155">
        <v>55643</v>
      </c>
      <c r="K155">
        <v>0</v>
      </c>
      <c r="L155" s="1" t="s">
        <v>1085</v>
      </c>
      <c r="M155" s="1" t="s">
        <v>1086</v>
      </c>
      <c r="N155" t="s">
        <v>1241</v>
      </c>
    </row>
    <row r="156" spans="1:14">
      <c r="A156" s="1" t="s">
        <v>1569</v>
      </c>
      <c r="B156" s="1" t="s">
        <v>1570</v>
      </c>
      <c r="C156" s="1" t="s">
        <v>1446</v>
      </c>
      <c r="D156" s="1" t="s">
        <v>1081</v>
      </c>
      <c r="E156" s="1" t="s">
        <v>1091</v>
      </c>
      <c r="F156" s="1" t="s">
        <v>1083</v>
      </c>
      <c r="G156" s="1" t="s">
        <v>1106</v>
      </c>
      <c r="H156">
        <v>40</v>
      </c>
      <c r="I156">
        <v>44629</v>
      </c>
      <c r="J156">
        <v>97938</v>
      </c>
      <c r="K156">
        <v>0</v>
      </c>
      <c r="L156" s="1" t="s">
        <v>1085</v>
      </c>
      <c r="M156" s="1" t="s">
        <v>1093</v>
      </c>
      <c r="N156" t="s">
        <v>1241</v>
      </c>
    </row>
    <row r="157" spans="1:14">
      <c r="A157" s="1" t="s">
        <v>1571</v>
      </c>
      <c r="B157" s="1" t="s">
        <v>1572</v>
      </c>
      <c r="C157" s="1" t="s">
        <v>1089</v>
      </c>
      <c r="D157" s="1" t="s">
        <v>1120</v>
      </c>
      <c r="E157" s="1" t="s">
        <v>1098</v>
      </c>
      <c r="F157" s="1" t="s">
        <v>1083</v>
      </c>
      <c r="G157" s="1" t="s">
        <v>1084</v>
      </c>
      <c r="H157">
        <v>43</v>
      </c>
      <c r="I157" t="s">
        <v>1573</v>
      </c>
      <c r="J157">
        <v>49627</v>
      </c>
      <c r="K157">
        <v>0</v>
      </c>
      <c r="L157" s="1" t="s">
        <v>1100</v>
      </c>
      <c r="M157" s="1" t="s">
        <v>1188</v>
      </c>
      <c r="N157" t="s">
        <v>1241</v>
      </c>
    </row>
    <row r="158" spans="1:14">
      <c r="A158" s="1" t="s">
        <v>1574</v>
      </c>
      <c r="B158" s="1" t="s">
        <v>1575</v>
      </c>
      <c r="C158" s="1" t="s">
        <v>1269</v>
      </c>
      <c r="D158" s="1" t="s">
        <v>1097</v>
      </c>
      <c r="E158" s="1" t="s">
        <v>1098</v>
      </c>
      <c r="F158" s="1" t="s">
        <v>1083</v>
      </c>
      <c r="G158" s="1" t="s">
        <v>1133</v>
      </c>
      <c r="H158">
        <v>54</v>
      </c>
      <c r="I158" t="s">
        <v>1576</v>
      </c>
      <c r="J158">
        <v>58137</v>
      </c>
      <c r="K158">
        <v>0</v>
      </c>
      <c r="L158" s="1" t="s">
        <v>1085</v>
      </c>
      <c r="M158" s="1" t="s">
        <v>1086</v>
      </c>
      <c r="N158" t="s">
        <v>1241</v>
      </c>
    </row>
    <row r="159" spans="1:14">
      <c r="A159" s="1" t="s">
        <v>1577</v>
      </c>
      <c r="B159" s="1" t="s">
        <v>1578</v>
      </c>
      <c r="C159" s="1" t="s">
        <v>1152</v>
      </c>
      <c r="D159" s="1" t="s">
        <v>1090</v>
      </c>
      <c r="E159" s="1" t="s">
        <v>1098</v>
      </c>
      <c r="F159" s="1" t="s">
        <v>1105</v>
      </c>
      <c r="G159" s="1" t="s">
        <v>1153</v>
      </c>
      <c r="H159">
        <v>27</v>
      </c>
      <c r="I159">
        <v>44228</v>
      </c>
      <c r="J159">
        <v>120586</v>
      </c>
      <c r="K159">
        <v>0.15</v>
      </c>
      <c r="L159" s="1" t="s">
        <v>1085</v>
      </c>
      <c r="M159" s="1" t="s">
        <v>1107</v>
      </c>
      <c r="N159" t="s">
        <v>1241</v>
      </c>
    </row>
    <row r="160" spans="1:14">
      <c r="A160" s="1" t="s">
        <v>1579</v>
      </c>
      <c r="B160" s="1" t="s">
        <v>1580</v>
      </c>
      <c r="C160" s="1" t="s">
        <v>1126</v>
      </c>
      <c r="D160" s="1" t="s">
        <v>1120</v>
      </c>
      <c r="E160" s="1" t="s">
        <v>1082</v>
      </c>
      <c r="F160" s="1" t="s">
        <v>1105</v>
      </c>
      <c r="G160" s="1" t="s">
        <v>1084</v>
      </c>
      <c r="H160">
        <v>56</v>
      </c>
      <c r="I160" t="s">
        <v>1581</v>
      </c>
      <c r="J160">
        <v>72925</v>
      </c>
      <c r="K160">
        <v>0</v>
      </c>
      <c r="L160" s="1" t="s">
        <v>1085</v>
      </c>
      <c r="M160" s="1" t="s">
        <v>1107</v>
      </c>
      <c r="N160" t="s">
        <v>1241</v>
      </c>
    </row>
    <row r="161" spans="1:14">
      <c r="A161" s="1" t="s">
        <v>1582</v>
      </c>
      <c r="B161" s="1" t="s">
        <v>1583</v>
      </c>
      <c r="C161" s="1" t="s">
        <v>1096</v>
      </c>
      <c r="D161" s="1" t="s">
        <v>1097</v>
      </c>
      <c r="E161" s="1" t="s">
        <v>1121</v>
      </c>
      <c r="F161" s="1" t="s">
        <v>1105</v>
      </c>
      <c r="G161" s="1" t="s">
        <v>1106</v>
      </c>
      <c r="H161">
        <v>36</v>
      </c>
      <c r="I161">
        <v>44903</v>
      </c>
      <c r="J161">
        <v>83548</v>
      </c>
      <c r="K161">
        <v>0</v>
      </c>
      <c r="L161" s="1" t="s">
        <v>1085</v>
      </c>
      <c r="M161" s="1" t="s">
        <v>1137</v>
      </c>
      <c r="N161" t="s">
        <v>1241</v>
      </c>
    </row>
    <row r="162" spans="1:14">
      <c r="A162" s="1" t="s">
        <v>1584</v>
      </c>
      <c r="B162" s="1" t="s">
        <v>1585</v>
      </c>
      <c r="C162" s="1" t="s">
        <v>1136</v>
      </c>
      <c r="D162" s="1" t="s">
        <v>1127</v>
      </c>
      <c r="E162" s="1" t="s">
        <v>1082</v>
      </c>
      <c r="F162" s="1" t="s">
        <v>1083</v>
      </c>
      <c r="G162" s="1" t="s">
        <v>1084</v>
      </c>
      <c r="H162">
        <v>53</v>
      </c>
      <c r="I162" t="s">
        <v>1586</v>
      </c>
      <c r="J162">
        <v>128226</v>
      </c>
      <c r="K162">
        <v>0.08</v>
      </c>
      <c r="L162" s="1" t="s">
        <v>1100</v>
      </c>
      <c r="M162" s="1" t="s">
        <v>1101</v>
      </c>
      <c r="N162" t="s">
        <v>1241</v>
      </c>
    </row>
    <row r="163" spans="1:14">
      <c r="A163" s="1" t="s">
        <v>1587</v>
      </c>
      <c r="B163" s="1" t="s">
        <v>1588</v>
      </c>
      <c r="C163" s="1" t="s">
        <v>1110</v>
      </c>
      <c r="D163" s="1" t="s">
        <v>1081</v>
      </c>
      <c r="E163" s="1" t="s">
        <v>1098</v>
      </c>
      <c r="F163" s="1" t="s">
        <v>1105</v>
      </c>
      <c r="G163" s="1" t="s">
        <v>1133</v>
      </c>
      <c r="H163">
        <v>31</v>
      </c>
      <c r="I163">
        <v>43254</v>
      </c>
      <c r="J163">
        <v>150653</v>
      </c>
      <c r="K163">
        <v>0.24</v>
      </c>
      <c r="L163" s="1" t="s">
        <v>1085</v>
      </c>
      <c r="M163" s="1" t="s">
        <v>1112</v>
      </c>
      <c r="N163">
        <v>43474</v>
      </c>
    </row>
    <row r="164" spans="1:14">
      <c r="A164" s="1" t="s">
        <v>1589</v>
      </c>
      <c r="B164" s="1" t="s">
        <v>1590</v>
      </c>
      <c r="C164" s="1" t="s">
        <v>1591</v>
      </c>
      <c r="D164" s="1" t="s">
        <v>1090</v>
      </c>
      <c r="E164" s="1" t="s">
        <v>1121</v>
      </c>
      <c r="F164" s="1" t="s">
        <v>1083</v>
      </c>
      <c r="G164" s="1" t="s">
        <v>1133</v>
      </c>
      <c r="H164">
        <v>45</v>
      </c>
      <c r="I164">
        <v>42465</v>
      </c>
      <c r="J164">
        <v>80989</v>
      </c>
      <c r="K164">
        <v>0</v>
      </c>
      <c r="L164" s="1" t="s">
        <v>1085</v>
      </c>
      <c r="M164" s="1" t="s">
        <v>1086</v>
      </c>
      <c r="N164" t="s">
        <v>1241</v>
      </c>
    </row>
    <row r="165" spans="1:14">
      <c r="A165" s="1" t="s">
        <v>1592</v>
      </c>
      <c r="B165" s="1" t="s">
        <v>1593</v>
      </c>
      <c r="C165" s="1" t="s">
        <v>1594</v>
      </c>
      <c r="D165" s="1" t="s">
        <v>1081</v>
      </c>
      <c r="E165" s="1" t="s">
        <v>1091</v>
      </c>
      <c r="F165" s="1" t="s">
        <v>1083</v>
      </c>
      <c r="G165" s="1" t="s">
        <v>1133</v>
      </c>
      <c r="H165">
        <v>29</v>
      </c>
      <c r="I165" t="s">
        <v>1595</v>
      </c>
      <c r="J165">
        <v>74901</v>
      </c>
      <c r="K165">
        <v>0</v>
      </c>
      <c r="L165" s="1" t="s">
        <v>1085</v>
      </c>
      <c r="M165" s="1" t="s">
        <v>1112</v>
      </c>
      <c r="N165" t="s">
        <v>1241</v>
      </c>
    </row>
    <row r="166" spans="1:14">
      <c r="A166" s="1" t="s">
        <v>1596</v>
      </c>
      <c r="B166" s="1" t="s">
        <v>1597</v>
      </c>
      <c r="C166" s="1" t="s">
        <v>1275</v>
      </c>
      <c r="D166" s="1" t="s">
        <v>1097</v>
      </c>
      <c r="E166" s="1" t="s">
        <v>1098</v>
      </c>
      <c r="F166" s="1" t="s">
        <v>1105</v>
      </c>
      <c r="G166" s="1" t="s">
        <v>1084</v>
      </c>
      <c r="H166">
        <v>27</v>
      </c>
      <c r="I166" t="s">
        <v>1598</v>
      </c>
      <c r="J166">
        <v>68712</v>
      </c>
      <c r="K166">
        <v>0</v>
      </c>
      <c r="L166" s="1" t="s">
        <v>1085</v>
      </c>
      <c r="M166" s="1" t="s">
        <v>1086</v>
      </c>
      <c r="N166" t="s">
        <v>1241</v>
      </c>
    </row>
    <row r="167" spans="1:14">
      <c r="A167" s="1" t="s">
        <v>1599</v>
      </c>
      <c r="B167" s="1" t="s">
        <v>1600</v>
      </c>
      <c r="C167" s="1" t="s">
        <v>1601</v>
      </c>
      <c r="D167" s="1" t="s">
        <v>1081</v>
      </c>
      <c r="E167" s="1" t="s">
        <v>1098</v>
      </c>
      <c r="F167" s="1" t="s">
        <v>1083</v>
      </c>
      <c r="G167" s="1" t="s">
        <v>1133</v>
      </c>
      <c r="H167">
        <v>26</v>
      </c>
      <c r="I167" t="s">
        <v>1602</v>
      </c>
      <c r="J167">
        <v>82963</v>
      </c>
      <c r="K167">
        <v>0</v>
      </c>
      <c r="L167" s="1" t="s">
        <v>1085</v>
      </c>
      <c r="M167" s="1" t="s">
        <v>1112</v>
      </c>
      <c r="N167" t="s">
        <v>1603</v>
      </c>
    </row>
    <row r="168" spans="1:14">
      <c r="A168" s="1" t="s">
        <v>1604</v>
      </c>
      <c r="B168" s="1" t="s">
        <v>1605</v>
      </c>
      <c r="C168" s="1" t="s">
        <v>1412</v>
      </c>
      <c r="D168" s="1" t="s">
        <v>1081</v>
      </c>
      <c r="E168" s="1" t="s">
        <v>1098</v>
      </c>
      <c r="F168" s="1" t="s">
        <v>1105</v>
      </c>
      <c r="G168" s="1" t="s">
        <v>1106</v>
      </c>
      <c r="H168">
        <v>53</v>
      </c>
      <c r="I168" t="s">
        <v>1606</v>
      </c>
      <c r="J168">
        <v>123203</v>
      </c>
      <c r="K168">
        <v>0.1</v>
      </c>
      <c r="L168" s="1" t="s">
        <v>1085</v>
      </c>
      <c r="M168" s="1" t="s">
        <v>1112</v>
      </c>
      <c r="N168" t="s">
        <v>1241</v>
      </c>
    </row>
    <row r="169" spans="1:14">
      <c r="A169" s="1" t="s">
        <v>1607</v>
      </c>
      <c r="B169" s="1" t="s">
        <v>1608</v>
      </c>
      <c r="C169" s="1" t="s">
        <v>1110</v>
      </c>
      <c r="D169" s="1" t="s">
        <v>1120</v>
      </c>
      <c r="E169" s="1" t="s">
        <v>1091</v>
      </c>
      <c r="F169" s="1" t="s">
        <v>1105</v>
      </c>
      <c r="G169" s="1" t="s">
        <v>1084</v>
      </c>
      <c r="H169">
        <v>64</v>
      </c>
      <c r="I169">
        <v>41038</v>
      </c>
      <c r="J169">
        <v>195416</v>
      </c>
      <c r="K169">
        <v>0.22</v>
      </c>
      <c r="L169" s="1" t="s">
        <v>1100</v>
      </c>
      <c r="M169" s="1" t="s">
        <v>1129</v>
      </c>
      <c r="N169" t="s">
        <v>1241</v>
      </c>
    </row>
    <row r="170" spans="1:14">
      <c r="A170" s="1" t="s">
        <v>1609</v>
      </c>
      <c r="B170" s="1" t="s">
        <v>1610</v>
      </c>
      <c r="C170" s="1" t="s">
        <v>1110</v>
      </c>
      <c r="D170" s="1" t="s">
        <v>1148</v>
      </c>
      <c r="E170" s="1" t="s">
        <v>1082</v>
      </c>
      <c r="F170" s="1" t="s">
        <v>1083</v>
      </c>
      <c r="G170" s="1" t="s">
        <v>1153</v>
      </c>
      <c r="H170">
        <v>32</v>
      </c>
      <c r="I170">
        <v>43287</v>
      </c>
      <c r="J170">
        <v>156418</v>
      </c>
      <c r="K170">
        <v>0.23</v>
      </c>
      <c r="L170" s="1" t="s">
        <v>1085</v>
      </c>
      <c r="M170" s="1" t="s">
        <v>1086</v>
      </c>
      <c r="N170" t="s">
        <v>1241</v>
      </c>
    </row>
    <row r="171" spans="1:14">
      <c r="A171" s="1" t="s">
        <v>1611</v>
      </c>
      <c r="B171" s="1" t="s">
        <v>1612</v>
      </c>
      <c r="C171" s="1" t="s">
        <v>1160</v>
      </c>
      <c r="D171" s="1" t="s">
        <v>1120</v>
      </c>
      <c r="E171" s="1" t="s">
        <v>1082</v>
      </c>
      <c r="F171" s="1" t="s">
        <v>1105</v>
      </c>
      <c r="G171" s="1" t="s">
        <v>1084</v>
      </c>
      <c r="H171">
        <v>42</v>
      </c>
      <c r="I171" t="s">
        <v>1613</v>
      </c>
      <c r="J171">
        <v>255892</v>
      </c>
      <c r="K171">
        <v>0.38</v>
      </c>
      <c r="L171" s="1" t="s">
        <v>1085</v>
      </c>
      <c r="M171" s="1" t="s">
        <v>1137</v>
      </c>
      <c r="N171" t="s">
        <v>1241</v>
      </c>
    </row>
    <row r="172" spans="1:14">
      <c r="A172" s="1" t="s">
        <v>1614</v>
      </c>
      <c r="B172" s="1" t="s">
        <v>1615</v>
      </c>
      <c r="C172" s="1" t="s">
        <v>1173</v>
      </c>
      <c r="D172" s="1" t="s">
        <v>1097</v>
      </c>
      <c r="E172" s="1" t="s">
        <v>1091</v>
      </c>
      <c r="F172" s="1" t="s">
        <v>1105</v>
      </c>
      <c r="G172" s="1" t="s">
        <v>1133</v>
      </c>
      <c r="H172">
        <v>31</v>
      </c>
      <c r="I172">
        <v>43228</v>
      </c>
      <c r="J172">
        <v>96195</v>
      </c>
      <c r="K172">
        <v>0</v>
      </c>
      <c r="L172" s="1" t="s">
        <v>1085</v>
      </c>
      <c r="M172" s="1" t="s">
        <v>1116</v>
      </c>
      <c r="N172" t="s">
        <v>1241</v>
      </c>
    </row>
    <row r="173" spans="1:14">
      <c r="A173" s="1" t="s">
        <v>1616</v>
      </c>
      <c r="B173" s="1" t="s">
        <v>1617</v>
      </c>
      <c r="C173" s="1" t="s">
        <v>1096</v>
      </c>
      <c r="D173" s="1" t="s">
        <v>1097</v>
      </c>
      <c r="E173" s="1" t="s">
        <v>1098</v>
      </c>
      <c r="F173" s="1" t="s">
        <v>1105</v>
      </c>
      <c r="G173" s="1" t="s">
        <v>1084</v>
      </c>
      <c r="H173">
        <v>40</v>
      </c>
      <c r="I173" t="s">
        <v>1618</v>
      </c>
      <c r="J173">
        <v>77637</v>
      </c>
      <c r="K173">
        <v>0</v>
      </c>
      <c r="L173" s="1" t="s">
        <v>1100</v>
      </c>
      <c r="M173" s="1" t="s">
        <v>1123</v>
      </c>
      <c r="N173">
        <v>42827</v>
      </c>
    </row>
    <row r="174" spans="1:14">
      <c r="A174" s="1" t="s">
        <v>1619</v>
      </c>
      <c r="B174" s="1" t="s">
        <v>1620</v>
      </c>
      <c r="C174" s="1" t="s">
        <v>1216</v>
      </c>
      <c r="D174" s="1" t="s">
        <v>1081</v>
      </c>
      <c r="E174" s="1" t="s">
        <v>1098</v>
      </c>
      <c r="F174" s="1" t="s">
        <v>1083</v>
      </c>
      <c r="G174" s="1" t="s">
        <v>1084</v>
      </c>
      <c r="H174">
        <v>46</v>
      </c>
      <c r="I174" t="s">
        <v>1621</v>
      </c>
      <c r="J174">
        <v>79294</v>
      </c>
      <c r="K174">
        <v>0</v>
      </c>
      <c r="L174" s="1" t="s">
        <v>1100</v>
      </c>
      <c r="M174" s="1" t="s">
        <v>1129</v>
      </c>
      <c r="N174" t="s">
        <v>1241</v>
      </c>
    </row>
    <row r="175" spans="1:14">
      <c r="A175" s="1" t="s">
        <v>1622</v>
      </c>
      <c r="B175" s="1" t="s">
        <v>1623</v>
      </c>
      <c r="C175" s="1" t="s">
        <v>1160</v>
      </c>
      <c r="D175" s="1" t="s">
        <v>1127</v>
      </c>
      <c r="E175" s="1" t="s">
        <v>1121</v>
      </c>
      <c r="F175" s="1" t="s">
        <v>1083</v>
      </c>
      <c r="G175" s="1" t="s">
        <v>1133</v>
      </c>
      <c r="H175">
        <v>35</v>
      </c>
      <c r="I175">
        <v>42681</v>
      </c>
      <c r="J175">
        <v>254287</v>
      </c>
      <c r="K175">
        <v>0.31</v>
      </c>
      <c r="L175" s="1" t="s">
        <v>1085</v>
      </c>
      <c r="M175" s="1" t="s">
        <v>1112</v>
      </c>
      <c r="N175" t="s">
        <v>1624</v>
      </c>
    </row>
    <row r="176" spans="1:14">
      <c r="A176" s="1" t="s">
        <v>1625</v>
      </c>
      <c r="B176" s="1" t="s">
        <v>1626</v>
      </c>
      <c r="C176" s="1" t="s">
        <v>1285</v>
      </c>
      <c r="D176" s="1" t="s">
        <v>1097</v>
      </c>
      <c r="E176" s="1" t="s">
        <v>1121</v>
      </c>
      <c r="F176" s="1" t="s">
        <v>1083</v>
      </c>
      <c r="G176" s="1" t="s">
        <v>1084</v>
      </c>
      <c r="H176">
        <v>64</v>
      </c>
      <c r="I176" t="s">
        <v>1627</v>
      </c>
      <c r="J176">
        <v>70516</v>
      </c>
      <c r="K176">
        <v>0</v>
      </c>
      <c r="L176" s="1" t="s">
        <v>1100</v>
      </c>
      <c r="M176" s="1" t="s">
        <v>1129</v>
      </c>
      <c r="N176" t="s">
        <v>1241</v>
      </c>
    </row>
    <row r="177" spans="1:14">
      <c r="A177" s="1" t="s">
        <v>1628</v>
      </c>
      <c r="B177" s="1" t="s">
        <v>1629</v>
      </c>
      <c r="C177" s="1" t="s">
        <v>1119</v>
      </c>
      <c r="D177" s="1" t="s">
        <v>1120</v>
      </c>
      <c r="E177" s="1" t="s">
        <v>1098</v>
      </c>
      <c r="F177" s="1" t="s">
        <v>1105</v>
      </c>
      <c r="G177" s="1" t="s">
        <v>1106</v>
      </c>
      <c r="H177">
        <v>58</v>
      </c>
      <c r="I177">
        <v>41826</v>
      </c>
      <c r="J177">
        <v>98296</v>
      </c>
      <c r="K177">
        <v>0</v>
      </c>
      <c r="L177" s="1" t="s">
        <v>1221</v>
      </c>
      <c r="M177" s="1" t="s">
        <v>1443</v>
      </c>
      <c r="N177" t="s">
        <v>1241</v>
      </c>
    </row>
    <row r="178" spans="1:14">
      <c r="A178" s="1" t="s">
        <v>1630</v>
      </c>
      <c r="B178" s="1" t="s">
        <v>1631</v>
      </c>
      <c r="C178" s="1" t="s">
        <v>1632</v>
      </c>
      <c r="D178" s="1" t="s">
        <v>1081</v>
      </c>
      <c r="E178" s="1" t="s">
        <v>1082</v>
      </c>
      <c r="F178" s="1" t="s">
        <v>1083</v>
      </c>
      <c r="G178" s="1" t="s">
        <v>1133</v>
      </c>
      <c r="H178">
        <v>61</v>
      </c>
      <c r="I178" t="s">
        <v>1633</v>
      </c>
      <c r="J178">
        <v>98565</v>
      </c>
      <c r="K178">
        <v>0</v>
      </c>
      <c r="L178" s="1" t="s">
        <v>1085</v>
      </c>
      <c r="M178" s="1" t="s">
        <v>1116</v>
      </c>
      <c r="N178" t="s">
        <v>1241</v>
      </c>
    </row>
    <row r="179" spans="1:14">
      <c r="A179" s="1" t="s">
        <v>1634</v>
      </c>
      <c r="B179" s="1" t="s">
        <v>1635</v>
      </c>
      <c r="C179" s="1" t="s">
        <v>1126</v>
      </c>
      <c r="D179" s="1" t="s">
        <v>1127</v>
      </c>
      <c r="E179" s="1" t="s">
        <v>1082</v>
      </c>
      <c r="F179" s="1" t="s">
        <v>1083</v>
      </c>
      <c r="G179" s="1" t="s">
        <v>1106</v>
      </c>
      <c r="H179">
        <v>41</v>
      </c>
      <c r="I179" t="s">
        <v>1636</v>
      </c>
      <c r="J179">
        <v>59149</v>
      </c>
      <c r="K179">
        <v>0</v>
      </c>
      <c r="L179" s="1" t="s">
        <v>1221</v>
      </c>
      <c r="M179" s="1" t="s">
        <v>1222</v>
      </c>
      <c r="N179" t="s">
        <v>1241</v>
      </c>
    </row>
    <row r="180" spans="1:14">
      <c r="A180" s="1" t="s">
        <v>1637</v>
      </c>
      <c r="B180" s="1" t="s">
        <v>1638</v>
      </c>
      <c r="C180" s="1" t="s">
        <v>1126</v>
      </c>
      <c r="D180" s="1" t="s">
        <v>1148</v>
      </c>
      <c r="E180" s="1" t="s">
        <v>1121</v>
      </c>
      <c r="F180" s="1" t="s">
        <v>1105</v>
      </c>
      <c r="G180" s="1" t="s">
        <v>1106</v>
      </c>
      <c r="H180">
        <v>25</v>
      </c>
      <c r="I180">
        <v>44501</v>
      </c>
      <c r="J180">
        <v>70126</v>
      </c>
      <c r="K180">
        <v>0</v>
      </c>
      <c r="L180" s="1" t="s">
        <v>1221</v>
      </c>
      <c r="M180" s="1" t="s">
        <v>1298</v>
      </c>
      <c r="N180" t="s">
        <v>1241</v>
      </c>
    </row>
    <row r="181" spans="1:14">
      <c r="A181" s="1" t="s">
        <v>1639</v>
      </c>
      <c r="B181" s="1" t="s">
        <v>1640</v>
      </c>
      <c r="C181" s="1" t="s">
        <v>1160</v>
      </c>
      <c r="D181" s="1" t="s">
        <v>1208</v>
      </c>
      <c r="E181" s="1" t="s">
        <v>1082</v>
      </c>
      <c r="F181" s="1" t="s">
        <v>1105</v>
      </c>
      <c r="G181" s="1" t="s">
        <v>1084</v>
      </c>
      <c r="H181">
        <v>50</v>
      </c>
      <c r="I181" t="s">
        <v>1641</v>
      </c>
      <c r="J181">
        <v>216787</v>
      </c>
      <c r="K181">
        <v>0.33</v>
      </c>
      <c r="L181" s="1" t="s">
        <v>1100</v>
      </c>
      <c r="M181" s="1" t="s">
        <v>1188</v>
      </c>
      <c r="N181" t="s">
        <v>1241</v>
      </c>
    </row>
    <row r="182" spans="1:14">
      <c r="A182" s="1" t="s">
        <v>1642</v>
      </c>
      <c r="B182" s="1" t="s">
        <v>1643</v>
      </c>
      <c r="C182" s="1" t="s">
        <v>1152</v>
      </c>
      <c r="D182" s="1" t="s">
        <v>1120</v>
      </c>
      <c r="E182" s="1" t="s">
        <v>1098</v>
      </c>
      <c r="F182" s="1" t="s">
        <v>1083</v>
      </c>
      <c r="G182" s="1" t="s">
        <v>1106</v>
      </c>
      <c r="H182">
        <v>61</v>
      </c>
      <c r="I182" t="s">
        <v>1644</v>
      </c>
      <c r="J182">
        <v>156512</v>
      </c>
      <c r="K182">
        <v>0.13</v>
      </c>
      <c r="L182" s="1" t="s">
        <v>1221</v>
      </c>
      <c r="M182" s="1" t="s">
        <v>1222</v>
      </c>
      <c r="N182" t="s">
        <v>1241</v>
      </c>
    </row>
    <row r="183" spans="1:14">
      <c r="A183" s="1" t="s">
        <v>1645</v>
      </c>
      <c r="B183" s="1" t="s">
        <v>1646</v>
      </c>
      <c r="C183" s="1" t="s">
        <v>1089</v>
      </c>
      <c r="D183" s="1" t="s">
        <v>1127</v>
      </c>
      <c r="E183" s="1" t="s">
        <v>1098</v>
      </c>
      <c r="F183" s="1" t="s">
        <v>1105</v>
      </c>
      <c r="G183" s="1" t="s">
        <v>1084</v>
      </c>
      <c r="H183">
        <v>63</v>
      </c>
      <c r="I183" t="s">
        <v>1647</v>
      </c>
      <c r="J183">
        <v>44444</v>
      </c>
      <c r="K183">
        <v>0</v>
      </c>
      <c r="L183" s="1" t="s">
        <v>1085</v>
      </c>
      <c r="M183" s="1" t="s">
        <v>1137</v>
      </c>
      <c r="N183">
        <v>42345</v>
      </c>
    </row>
    <row r="184" spans="1:14">
      <c r="A184" s="1" t="s">
        <v>1648</v>
      </c>
      <c r="B184" s="1" t="s">
        <v>1649</v>
      </c>
      <c r="C184" s="1" t="s">
        <v>1160</v>
      </c>
      <c r="D184" s="1" t="s">
        <v>1090</v>
      </c>
      <c r="E184" s="1" t="s">
        <v>1098</v>
      </c>
      <c r="F184" s="1" t="s">
        <v>1105</v>
      </c>
      <c r="G184" s="1" t="s">
        <v>1084</v>
      </c>
      <c r="H184">
        <v>45</v>
      </c>
      <c r="I184" t="s">
        <v>1650</v>
      </c>
      <c r="J184">
        <v>257725</v>
      </c>
      <c r="K184">
        <v>0.34</v>
      </c>
      <c r="L184" s="1" t="s">
        <v>1085</v>
      </c>
      <c r="M184" s="1" t="s">
        <v>1107</v>
      </c>
      <c r="N184" t="s">
        <v>1651</v>
      </c>
    </row>
    <row r="185" spans="1:14">
      <c r="A185" s="1" t="s">
        <v>1652</v>
      </c>
      <c r="B185" s="1" t="s">
        <v>1653</v>
      </c>
      <c r="C185" s="1" t="s">
        <v>1152</v>
      </c>
      <c r="D185" s="1" t="s">
        <v>1120</v>
      </c>
      <c r="E185" s="1" t="s">
        <v>1121</v>
      </c>
      <c r="F185" s="1" t="s">
        <v>1083</v>
      </c>
      <c r="G185" s="1" t="s">
        <v>1106</v>
      </c>
      <c r="H185">
        <v>33</v>
      </c>
      <c r="I185" t="s">
        <v>1654</v>
      </c>
      <c r="J185">
        <v>122408</v>
      </c>
      <c r="K185">
        <v>0.11</v>
      </c>
      <c r="L185" s="1" t="s">
        <v>1221</v>
      </c>
      <c r="M185" s="1" t="s">
        <v>1222</v>
      </c>
      <c r="N185" t="s">
        <v>1241</v>
      </c>
    </row>
    <row r="186" spans="1:14">
      <c r="A186" s="1" t="s">
        <v>1655</v>
      </c>
      <c r="B186" s="1" t="s">
        <v>1656</v>
      </c>
      <c r="C186" s="1" t="s">
        <v>1601</v>
      </c>
      <c r="D186" s="1" t="s">
        <v>1081</v>
      </c>
      <c r="E186" s="1" t="s">
        <v>1091</v>
      </c>
      <c r="F186" s="1" t="s">
        <v>1083</v>
      </c>
      <c r="G186" s="1" t="s">
        <v>1106</v>
      </c>
      <c r="H186">
        <v>62</v>
      </c>
      <c r="I186">
        <v>34976</v>
      </c>
      <c r="J186">
        <v>78251</v>
      </c>
      <c r="K186">
        <v>0</v>
      </c>
      <c r="L186" s="1" t="s">
        <v>1221</v>
      </c>
      <c r="M186" s="1" t="s">
        <v>1298</v>
      </c>
      <c r="N186" t="s">
        <v>1657</v>
      </c>
    </row>
    <row r="187" spans="1:14">
      <c r="A187" s="1" t="s">
        <v>1658</v>
      </c>
      <c r="B187" s="1" t="s">
        <v>1659</v>
      </c>
      <c r="C187" s="1" t="s">
        <v>1160</v>
      </c>
      <c r="D187" s="1" t="s">
        <v>1090</v>
      </c>
      <c r="E187" s="1" t="s">
        <v>1091</v>
      </c>
      <c r="F187" s="1" t="s">
        <v>1105</v>
      </c>
      <c r="G187" s="1" t="s">
        <v>1084</v>
      </c>
      <c r="H187">
        <v>43</v>
      </c>
      <c r="I187">
        <v>38022</v>
      </c>
      <c r="J187">
        <v>252938</v>
      </c>
      <c r="K187">
        <v>0.35</v>
      </c>
      <c r="L187" s="1" t="s">
        <v>1085</v>
      </c>
      <c r="M187" s="1" t="s">
        <v>1112</v>
      </c>
      <c r="N187" t="s">
        <v>1241</v>
      </c>
    </row>
    <row r="188" spans="1:14">
      <c r="A188" s="1" t="s">
        <v>1660</v>
      </c>
      <c r="B188" s="1" t="s">
        <v>1661</v>
      </c>
      <c r="C188" s="1" t="s">
        <v>1119</v>
      </c>
      <c r="D188" s="1" t="s">
        <v>1090</v>
      </c>
      <c r="E188" s="1" t="s">
        <v>1082</v>
      </c>
      <c r="F188" s="1" t="s">
        <v>1083</v>
      </c>
      <c r="G188" s="1" t="s">
        <v>1153</v>
      </c>
      <c r="H188">
        <v>48</v>
      </c>
      <c r="I188" t="s">
        <v>1662</v>
      </c>
      <c r="J188">
        <v>90296</v>
      </c>
      <c r="K188">
        <v>0</v>
      </c>
      <c r="L188" s="1" t="s">
        <v>1085</v>
      </c>
      <c r="M188" s="1" t="s">
        <v>1112</v>
      </c>
      <c r="N188" t="s">
        <v>1241</v>
      </c>
    </row>
    <row r="189" spans="1:14">
      <c r="A189" s="1" t="s">
        <v>1663</v>
      </c>
      <c r="B189" s="1" t="s">
        <v>1664</v>
      </c>
      <c r="C189" s="1" t="s">
        <v>1119</v>
      </c>
      <c r="D189" s="1" t="s">
        <v>1127</v>
      </c>
      <c r="E189" s="1" t="s">
        <v>1091</v>
      </c>
      <c r="F189" s="1" t="s">
        <v>1083</v>
      </c>
      <c r="G189" s="1" t="s">
        <v>1084</v>
      </c>
      <c r="H189">
        <v>42</v>
      </c>
      <c r="I189" t="s">
        <v>1665</v>
      </c>
      <c r="J189">
        <v>91689</v>
      </c>
      <c r="K189">
        <v>0</v>
      </c>
      <c r="L189" s="1" t="s">
        <v>1100</v>
      </c>
      <c r="M189" s="1" t="s">
        <v>1123</v>
      </c>
      <c r="N189" t="s">
        <v>1241</v>
      </c>
    </row>
    <row r="190" spans="1:14">
      <c r="A190" s="1" t="s">
        <v>1666</v>
      </c>
      <c r="B190" s="1" t="s">
        <v>1667</v>
      </c>
      <c r="C190" s="1" t="s">
        <v>1152</v>
      </c>
      <c r="D190" s="1" t="s">
        <v>1127</v>
      </c>
      <c r="E190" s="1" t="s">
        <v>1091</v>
      </c>
      <c r="F190" s="1" t="s">
        <v>1083</v>
      </c>
      <c r="G190" s="1" t="s">
        <v>1084</v>
      </c>
      <c r="H190">
        <v>49</v>
      </c>
      <c r="I190" t="s">
        <v>1668</v>
      </c>
      <c r="J190">
        <v>158028</v>
      </c>
      <c r="K190">
        <v>0.12</v>
      </c>
      <c r="L190" s="1" t="s">
        <v>1100</v>
      </c>
      <c r="M190" s="1" t="s">
        <v>1129</v>
      </c>
      <c r="N190" t="s">
        <v>1241</v>
      </c>
    </row>
    <row r="191" spans="1:14">
      <c r="A191" s="1" t="s">
        <v>1669</v>
      </c>
      <c r="B191" s="1" t="s">
        <v>1670</v>
      </c>
      <c r="C191" s="1" t="s">
        <v>1591</v>
      </c>
      <c r="D191" s="1" t="s">
        <v>1090</v>
      </c>
      <c r="E191" s="1" t="s">
        <v>1091</v>
      </c>
      <c r="F191" s="1" t="s">
        <v>1083</v>
      </c>
      <c r="G191" s="1" t="s">
        <v>1084</v>
      </c>
      <c r="H191">
        <v>33</v>
      </c>
      <c r="I191" t="s">
        <v>1671</v>
      </c>
      <c r="J191">
        <v>89759</v>
      </c>
      <c r="K191">
        <v>0</v>
      </c>
      <c r="L191" s="1" t="s">
        <v>1100</v>
      </c>
      <c r="M191" s="1" t="s">
        <v>1123</v>
      </c>
      <c r="N191" t="s">
        <v>1241</v>
      </c>
    </row>
    <row r="192" spans="1:14">
      <c r="A192" s="1" t="s">
        <v>1672</v>
      </c>
      <c r="B192" s="1" t="s">
        <v>1673</v>
      </c>
      <c r="C192" s="1" t="s">
        <v>1173</v>
      </c>
      <c r="D192" s="1" t="s">
        <v>1097</v>
      </c>
      <c r="E192" s="1" t="s">
        <v>1098</v>
      </c>
      <c r="F192" s="1" t="s">
        <v>1105</v>
      </c>
      <c r="G192" s="1" t="s">
        <v>1084</v>
      </c>
      <c r="H192">
        <v>39</v>
      </c>
      <c r="I192" t="s">
        <v>1674</v>
      </c>
      <c r="J192">
        <v>78640</v>
      </c>
      <c r="K192">
        <v>0</v>
      </c>
      <c r="L192" s="1" t="s">
        <v>1100</v>
      </c>
      <c r="M192" s="1" t="s">
        <v>1123</v>
      </c>
      <c r="N192" t="s">
        <v>1241</v>
      </c>
    </row>
    <row r="193" spans="1:14">
      <c r="A193" s="1" t="s">
        <v>1675</v>
      </c>
      <c r="B193" s="1" t="s">
        <v>1676</v>
      </c>
      <c r="C193" s="1" t="s">
        <v>1089</v>
      </c>
      <c r="D193" s="1" t="s">
        <v>1127</v>
      </c>
      <c r="E193" s="1" t="s">
        <v>1121</v>
      </c>
      <c r="F193" s="1" t="s">
        <v>1105</v>
      </c>
      <c r="G193" s="1" t="s">
        <v>1084</v>
      </c>
      <c r="H193">
        <v>51</v>
      </c>
      <c r="I193">
        <v>38657</v>
      </c>
      <c r="J193">
        <v>55368</v>
      </c>
      <c r="K193">
        <v>0</v>
      </c>
      <c r="L193" s="1" t="s">
        <v>1085</v>
      </c>
      <c r="M193" s="1" t="s">
        <v>1093</v>
      </c>
      <c r="N193" t="s">
        <v>1241</v>
      </c>
    </row>
    <row r="194" spans="1:14">
      <c r="A194" s="1" t="s">
        <v>1677</v>
      </c>
      <c r="B194" s="1" t="s">
        <v>1678</v>
      </c>
      <c r="C194" s="1" t="s">
        <v>1096</v>
      </c>
      <c r="D194" s="1" t="s">
        <v>1097</v>
      </c>
      <c r="E194" s="1" t="s">
        <v>1121</v>
      </c>
      <c r="F194" s="1" t="s">
        <v>1105</v>
      </c>
      <c r="G194" s="1" t="s">
        <v>1133</v>
      </c>
      <c r="H194">
        <v>49</v>
      </c>
      <c r="I194" t="s">
        <v>1679</v>
      </c>
      <c r="J194">
        <v>78164</v>
      </c>
      <c r="K194">
        <v>0</v>
      </c>
      <c r="L194" s="1" t="s">
        <v>1085</v>
      </c>
      <c r="M194" s="1" t="s">
        <v>1107</v>
      </c>
      <c r="N194" t="s">
        <v>1241</v>
      </c>
    </row>
    <row r="195" spans="1:14">
      <c r="A195" s="1" t="s">
        <v>1680</v>
      </c>
      <c r="B195" s="1" t="s">
        <v>1681</v>
      </c>
      <c r="C195" s="1" t="s">
        <v>1119</v>
      </c>
      <c r="D195" s="1" t="s">
        <v>1148</v>
      </c>
      <c r="E195" s="1" t="s">
        <v>1098</v>
      </c>
      <c r="F195" s="1" t="s">
        <v>1083</v>
      </c>
      <c r="G195" s="1" t="s">
        <v>1084</v>
      </c>
      <c r="H195">
        <v>30</v>
      </c>
      <c r="I195" t="s">
        <v>1682</v>
      </c>
      <c r="J195">
        <v>76014</v>
      </c>
      <c r="K195">
        <v>0</v>
      </c>
      <c r="L195" s="1" t="s">
        <v>1100</v>
      </c>
      <c r="M195" s="1" t="s">
        <v>1129</v>
      </c>
      <c r="N195" t="s">
        <v>1241</v>
      </c>
    </row>
    <row r="196" spans="1:14">
      <c r="A196" s="1" t="s">
        <v>1683</v>
      </c>
      <c r="B196" s="1" t="s">
        <v>1684</v>
      </c>
      <c r="C196" s="1" t="s">
        <v>1177</v>
      </c>
      <c r="D196" s="1" t="s">
        <v>1090</v>
      </c>
      <c r="E196" s="1" t="s">
        <v>1082</v>
      </c>
      <c r="F196" s="1" t="s">
        <v>1105</v>
      </c>
      <c r="G196" s="1" t="s">
        <v>1106</v>
      </c>
      <c r="H196">
        <v>41</v>
      </c>
      <c r="I196" t="s">
        <v>1685</v>
      </c>
      <c r="J196">
        <v>61403</v>
      </c>
      <c r="K196">
        <v>0</v>
      </c>
      <c r="L196" s="1" t="s">
        <v>1085</v>
      </c>
      <c r="M196" s="1" t="s">
        <v>1137</v>
      </c>
      <c r="N196" t="s">
        <v>1241</v>
      </c>
    </row>
    <row r="197" spans="1:14">
      <c r="A197" s="1" t="s">
        <v>1686</v>
      </c>
      <c r="B197" s="1" t="s">
        <v>1687</v>
      </c>
      <c r="C197" s="1" t="s">
        <v>1173</v>
      </c>
      <c r="D197" s="1" t="s">
        <v>1097</v>
      </c>
      <c r="E197" s="1" t="s">
        <v>1098</v>
      </c>
      <c r="F197" s="1" t="s">
        <v>1083</v>
      </c>
      <c r="G197" s="1" t="s">
        <v>1153</v>
      </c>
      <c r="H197">
        <v>58</v>
      </c>
      <c r="I197" t="s">
        <v>1688</v>
      </c>
      <c r="J197">
        <v>80720</v>
      </c>
      <c r="K197">
        <v>0</v>
      </c>
      <c r="L197" s="1" t="s">
        <v>1085</v>
      </c>
      <c r="M197" s="1" t="s">
        <v>1086</v>
      </c>
      <c r="N197" t="s">
        <v>1241</v>
      </c>
    </row>
    <row r="198" spans="1:14">
      <c r="A198" s="1" t="s">
        <v>1689</v>
      </c>
      <c r="B198" s="1" t="s">
        <v>1690</v>
      </c>
      <c r="C198" s="1" t="s">
        <v>1132</v>
      </c>
      <c r="D198" s="1" t="s">
        <v>1097</v>
      </c>
      <c r="E198" s="1" t="s">
        <v>1121</v>
      </c>
      <c r="F198" s="1" t="s">
        <v>1083</v>
      </c>
      <c r="G198" s="1" t="s">
        <v>1084</v>
      </c>
      <c r="H198">
        <v>55</v>
      </c>
      <c r="I198" t="s">
        <v>1691</v>
      </c>
      <c r="J198">
        <v>94026</v>
      </c>
      <c r="K198">
        <v>0</v>
      </c>
      <c r="L198" s="1" t="s">
        <v>1100</v>
      </c>
      <c r="M198" s="1" t="s">
        <v>1101</v>
      </c>
      <c r="N198" t="s">
        <v>1241</v>
      </c>
    </row>
    <row r="199" spans="1:14">
      <c r="A199" s="1" t="s">
        <v>1692</v>
      </c>
      <c r="B199" s="1" t="s">
        <v>1693</v>
      </c>
      <c r="C199" s="1" t="s">
        <v>1089</v>
      </c>
      <c r="D199" s="1" t="s">
        <v>1148</v>
      </c>
      <c r="E199" s="1" t="s">
        <v>1098</v>
      </c>
      <c r="F199" s="1" t="s">
        <v>1105</v>
      </c>
      <c r="G199" s="1" t="s">
        <v>1084</v>
      </c>
      <c r="H199">
        <v>40</v>
      </c>
      <c r="I199">
        <v>42524</v>
      </c>
      <c r="J199">
        <v>56963</v>
      </c>
      <c r="K199">
        <v>0</v>
      </c>
      <c r="L199" s="1" t="s">
        <v>1085</v>
      </c>
      <c r="M199" s="1" t="s">
        <v>1093</v>
      </c>
      <c r="N199" t="s">
        <v>1241</v>
      </c>
    </row>
    <row r="200" spans="1:14">
      <c r="A200" s="1" t="s">
        <v>1694</v>
      </c>
      <c r="B200" s="1" t="s">
        <v>1695</v>
      </c>
      <c r="C200" s="1" t="s">
        <v>1136</v>
      </c>
      <c r="D200" s="1" t="s">
        <v>1127</v>
      </c>
      <c r="E200" s="1" t="s">
        <v>1121</v>
      </c>
      <c r="F200" s="1" t="s">
        <v>1083</v>
      </c>
      <c r="G200" s="1" t="s">
        <v>1106</v>
      </c>
      <c r="H200">
        <v>41</v>
      </c>
      <c r="I200">
        <v>41852</v>
      </c>
      <c r="J200">
        <v>113246</v>
      </c>
      <c r="K200">
        <v>0.06</v>
      </c>
      <c r="L200" s="1" t="s">
        <v>1085</v>
      </c>
      <c r="M200" s="1" t="s">
        <v>1093</v>
      </c>
      <c r="N200" t="s">
        <v>1241</v>
      </c>
    </row>
    <row r="201" spans="1:14">
      <c r="A201" s="1" t="s">
        <v>1696</v>
      </c>
      <c r="B201" s="1" t="s">
        <v>1697</v>
      </c>
      <c r="C201" s="1" t="s">
        <v>1446</v>
      </c>
      <c r="D201" s="1" t="s">
        <v>1081</v>
      </c>
      <c r="E201" s="1" t="s">
        <v>1098</v>
      </c>
      <c r="F201" s="1" t="s">
        <v>1083</v>
      </c>
      <c r="G201" s="1" t="s">
        <v>1133</v>
      </c>
      <c r="H201">
        <v>45</v>
      </c>
      <c r="I201">
        <v>38603</v>
      </c>
      <c r="J201">
        <v>76416</v>
      </c>
      <c r="K201">
        <v>0</v>
      </c>
      <c r="L201" s="1" t="s">
        <v>1085</v>
      </c>
      <c r="M201" s="1" t="s">
        <v>1116</v>
      </c>
      <c r="N201" t="s">
        <v>1241</v>
      </c>
    </row>
    <row r="202" spans="1:14">
      <c r="A202" s="1" t="s">
        <v>1698</v>
      </c>
      <c r="B202" s="1" t="s">
        <v>1699</v>
      </c>
      <c r="C202" s="1" t="s">
        <v>1119</v>
      </c>
      <c r="D202" s="1" t="s">
        <v>1120</v>
      </c>
      <c r="E202" s="1" t="s">
        <v>1091</v>
      </c>
      <c r="F202" s="1" t="s">
        <v>1083</v>
      </c>
      <c r="G202" s="1" t="s">
        <v>1106</v>
      </c>
      <c r="H202">
        <v>57</v>
      </c>
      <c r="I202">
        <v>40272</v>
      </c>
      <c r="J202">
        <v>74597</v>
      </c>
      <c r="K202">
        <v>0</v>
      </c>
      <c r="L202" s="1" t="s">
        <v>1085</v>
      </c>
      <c r="M202" s="1" t="s">
        <v>1112</v>
      </c>
      <c r="N202" t="s">
        <v>1700</v>
      </c>
    </row>
    <row r="203" spans="1:14">
      <c r="A203" s="1" t="s">
        <v>1701</v>
      </c>
      <c r="B203" s="1" t="s">
        <v>1702</v>
      </c>
      <c r="C203" s="1" t="s">
        <v>1110</v>
      </c>
      <c r="D203" s="1" t="s">
        <v>1097</v>
      </c>
      <c r="E203" s="1" t="s">
        <v>1082</v>
      </c>
      <c r="F203" s="1" t="s">
        <v>1105</v>
      </c>
      <c r="G203" s="1" t="s">
        <v>1133</v>
      </c>
      <c r="H203">
        <v>65</v>
      </c>
      <c r="I203" t="s">
        <v>1703</v>
      </c>
      <c r="J203">
        <v>164102</v>
      </c>
      <c r="K203">
        <v>0.3</v>
      </c>
      <c r="L203" s="1" t="s">
        <v>1085</v>
      </c>
      <c r="M203" s="1" t="s">
        <v>1086</v>
      </c>
      <c r="N203" t="s">
        <v>1241</v>
      </c>
    </row>
    <row r="204" spans="1:14">
      <c r="A204" s="1" t="s">
        <v>1704</v>
      </c>
      <c r="B204" s="1" t="s">
        <v>1705</v>
      </c>
      <c r="C204" s="1" t="s">
        <v>1132</v>
      </c>
      <c r="D204" s="1" t="s">
        <v>1097</v>
      </c>
      <c r="E204" s="1" t="s">
        <v>1098</v>
      </c>
      <c r="F204" s="1" t="s">
        <v>1105</v>
      </c>
      <c r="G204" s="1" t="s">
        <v>1133</v>
      </c>
      <c r="H204">
        <v>44</v>
      </c>
      <c r="I204" t="s">
        <v>1706</v>
      </c>
      <c r="J204">
        <v>74431</v>
      </c>
      <c r="K204">
        <v>0</v>
      </c>
      <c r="L204" s="1" t="s">
        <v>1085</v>
      </c>
      <c r="M204" s="1" t="s">
        <v>1116</v>
      </c>
      <c r="N204" t="s">
        <v>1241</v>
      </c>
    </row>
    <row r="205" spans="1:14">
      <c r="A205" s="1" t="s">
        <v>1707</v>
      </c>
      <c r="B205" s="1" t="s">
        <v>1708</v>
      </c>
      <c r="C205" s="1" t="s">
        <v>1089</v>
      </c>
      <c r="D205" s="1" t="s">
        <v>1127</v>
      </c>
      <c r="E205" s="1" t="s">
        <v>1121</v>
      </c>
      <c r="F205" s="1" t="s">
        <v>1105</v>
      </c>
      <c r="G205" s="1" t="s">
        <v>1106</v>
      </c>
      <c r="H205">
        <v>52</v>
      </c>
      <c r="I205" t="s">
        <v>1709</v>
      </c>
      <c r="J205">
        <v>43378</v>
      </c>
      <c r="K205">
        <v>0</v>
      </c>
      <c r="L205" s="1" t="s">
        <v>1085</v>
      </c>
      <c r="M205" s="1" t="s">
        <v>1137</v>
      </c>
      <c r="N205" t="s">
        <v>1241</v>
      </c>
    </row>
    <row r="206" spans="1:14">
      <c r="A206" s="1" t="s">
        <v>1710</v>
      </c>
      <c r="B206" s="1" t="s">
        <v>1711</v>
      </c>
      <c r="C206" s="1" t="s">
        <v>1089</v>
      </c>
      <c r="D206" s="1" t="s">
        <v>1127</v>
      </c>
      <c r="E206" s="1" t="s">
        <v>1091</v>
      </c>
      <c r="F206" s="1" t="s">
        <v>1083</v>
      </c>
      <c r="G206" s="1" t="s">
        <v>1084</v>
      </c>
      <c r="H206">
        <v>52</v>
      </c>
      <c r="I206" t="s">
        <v>1712</v>
      </c>
      <c r="J206">
        <v>47587</v>
      </c>
      <c r="K206">
        <v>0</v>
      </c>
      <c r="L206" s="1" t="s">
        <v>1085</v>
      </c>
      <c r="M206" s="1" t="s">
        <v>1093</v>
      </c>
      <c r="N206" t="s">
        <v>1241</v>
      </c>
    </row>
    <row r="207" spans="1:14">
      <c r="A207" s="1" t="s">
        <v>1713</v>
      </c>
      <c r="B207" s="1" t="s">
        <v>1714</v>
      </c>
      <c r="C207" s="1" t="s">
        <v>1110</v>
      </c>
      <c r="D207" s="1" t="s">
        <v>1208</v>
      </c>
      <c r="E207" s="1" t="s">
        <v>1121</v>
      </c>
      <c r="F207" s="1" t="s">
        <v>1083</v>
      </c>
      <c r="G207" s="1" t="s">
        <v>1106</v>
      </c>
      <c r="H207">
        <v>53</v>
      </c>
      <c r="I207" t="s">
        <v>1715</v>
      </c>
      <c r="J207">
        <v>179983</v>
      </c>
      <c r="K207">
        <v>0.16</v>
      </c>
      <c r="L207" s="1" t="s">
        <v>1085</v>
      </c>
      <c r="M207" s="1" t="s">
        <v>1116</v>
      </c>
      <c r="N207" t="s">
        <v>1241</v>
      </c>
    </row>
    <row r="208" spans="1:14">
      <c r="A208" s="1" t="s">
        <v>1716</v>
      </c>
      <c r="B208" s="1" t="s">
        <v>1717</v>
      </c>
      <c r="C208" s="1" t="s">
        <v>1136</v>
      </c>
      <c r="D208" s="1" t="s">
        <v>1148</v>
      </c>
      <c r="E208" s="1" t="s">
        <v>1098</v>
      </c>
      <c r="F208" s="1" t="s">
        <v>1083</v>
      </c>
      <c r="G208" s="1" t="s">
        <v>1084</v>
      </c>
      <c r="H208">
        <v>31</v>
      </c>
      <c r="I208" t="s">
        <v>1718</v>
      </c>
      <c r="J208">
        <v>115565</v>
      </c>
      <c r="K208">
        <v>0.06</v>
      </c>
      <c r="L208" s="1" t="s">
        <v>1085</v>
      </c>
      <c r="M208" s="1" t="s">
        <v>1116</v>
      </c>
      <c r="N208" t="s">
        <v>1241</v>
      </c>
    </row>
    <row r="209" spans="1:14">
      <c r="A209" s="1" t="s">
        <v>1719</v>
      </c>
      <c r="B209" s="1" t="s">
        <v>1720</v>
      </c>
      <c r="C209" s="1" t="s">
        <v>1136</v>
      </c>
      <c r="D209" s="1" t="s">
        <v>1127</v>
      </c>
      <c r="E209" s="1" t="s">
        <v>1082</v>
      </c>
      <c r="F209" s="1" t="s">
        <v>1105</v>
      </c>
      <c r="G209" s="1" t="s">
        <v>1106</v>
      </c>
      <c r="H209">
        <v>63</v>
      </c>
      <c r="I209">
        <v>43017</v>
      </c>
      <c r="J209">
        <v>126064</v>
      </c>
      <c r="K209">
        <v>0.05</v>
      </c>
      <c r="L209" s="1" t="s">
        <v>1085</v>
      </c>
      <c r="M209" s="1" t="s">
        <v>1137</v>
      </c>
      <c r="N209" t="s">
        <v>1241</v>
      </c>
    </row>
    <row r="210" spans="1:14">
      <c r="A210" s="1" t="s">
        <v>1721</v>
      </c>
      <c r="B210" s="1" t="s">
        <v>1722</v>
      </c>
      <c r="C210" s="1" t="s">
        <v>1152</v>
      </c>
      <c r="D210" s="1" t="s">
        <v>1208</v>
      </c>
      <c r="E210" s="1" t="s">
        <v>1121</v>
      </c>
      <c r="F210" s="1" t="s">
        <v>1105</v>
      </c>
      <c r="G210" s="1" t="s">
        <v>1153</v>
      </c>
      <c r="H210">
        <v>39</v>
      </c>
      <c r="I210" t="s">
        <v>1723</v>
      </c>
      <c r="J210">
        <v>151666</v>
      </c>
      <c r="K210">
        <v>0.13</v>
      </c>
      <c r="L210" s="1" t="s">
        <v>1085</v>
      </c>
      <c r="M210" s="1" t="s">
        <v>1093</v>
      </c>
      <c r="N210" t="s">
        <v>1724</v>
      </c>
    </row>
    <row r="211" spans="1:14">
      <c r="A211" s="1" t="s">
        <v>1725</v>
      </c>
      <c r="B211" s="1" t="s">
        <v>1726</v>
      </c>
      <c r="C211" s="1" t="s">
        <v>1165</v>
      </c>
      <c r="D211" s="1" t="s">
        <v>1097</v>
      </c>
      <c r="E211" s="1" t="s">
        <v>1121</v>
      </c>
      <c r="F211" s="1" t="s">
        <v>1083</v>
      </c>
      <c r="G211" s="1" t="s">
        <v>1133</v>
      </c>
      <c r="H211">
        <v>63</v>
      </c>
      <c r="I211">
        <v>36834</v>
      </c>
      <c r="J211">
        <v>99215</v>
      </c>
      <c r="K211">
        <v>0</v>
      </c>
      <c r="L211" s="1" t="s">
        <v>1085</v>
      </c>
      <c r="M211" s="1" t="s">
        <v>1107</v>
      </c>
      <c r="N211" t="s">
        <v>1241</v>
      </c>
    </row>
    <row r="212" spans="1:14">
      <c r="A212" s="1" t="s">
        <v>1727</v>
      </c>
      <c r="B212" s="1" t="s">
        <v>1728</v>
      </c>
      <c r="C212" s="1" t="s">
        <v>1275</v>
      </c>
      <c r="D212" s="1" t="s">
        <v>1097</v>
      </c>
      <c r="E212" s="1" t="s">
        <v>1082</v>
      </c>
      <c r="F212" s="1" t="s">
        <v>1083</v>
      </c>
      <c r="G212" s="1" t="s">
        <v>1084</v>
      </c>
      <c r="H212">
        <v>27</v>
      </c>
      <c r="I212" t="s">
        <v>1729</v>
      </c>
      <c r="J212">
        <v>71502</v>
      </c>
      <c r="K212">
        <v>0</v>
      </c>
      <c r="L212" s="1" t="s">
        <v>1100</v>
      </c>
      <c r="M212" s="1" t="s">
        <v>1123</v>
      </c>
      <c r="N212" t="s">
        <v>1241</v>
      </c>
    </row>
    <row r="213" spans="1:14">
      <c r="A213" s="1" t="s">
        <v>1730</v>
      </c>
      <c r="B213" s="1" t="s">
        <v>1731</v>
      </c>
      <c r="C213" s="1" t="s">
        <v>1110</v>
      </c>
      <c r="D213" s="1" t="s">
        <v>1090</v>
      </c>
      <c r="E213" s="1" t="s">
        <v>1091</v>
      </c>
      <c r="F213" s="1" t="s">
        <v>1105</v>
      </c>
      <c r="G213" s="1" t="s">
        <v>1106</v>
      </c>
      <c r="H213">
        <v>30</v>
      </c>
      <c r="I213" t="s">
        <v>1732</v>
      </c>
      <c r="J213">
        <v>168050</v>
      </c>
      <c r="K213">
        <v>0.24</v>
      </c>
      <c r="L213" s="1" t="s">
        <v>1221</v>
      </c>
      <c r="M213" s="1" t="s">
        <v>1443</v>
      </c>
      <c r="N213" t="s">
        <v>1241</v>
      </c>
    </row>
    <row r="214" spans="1:14">
      <c r="A214" s="1" t="s">
        <v>1733</v>
      </c>
      <c r="B214" s="1" t="s">
        <v>1734</v>
      </c>
      <c r="C214" s="1" t="s">
        <v>1152</v>
      </c>
      <c r="D214" s="1" t="s">
        <v>1090</v>
      </c>
      <c r="E214" s="1" t="s">
        <v>1121</v>
      </c>
      <c r="F214" s="1" t="s">
        <v>1105</v>
      </c>
      <c r="G214" s="1" t="s">
        <v>1133</v>
      </c>
      <c r="H214">
        <v>51</v>
      </c>
      <c r="I214">
        <v>37813</v>
      </c>
      <c r="J214">
        <v>130862</v>
      </c>
      <c r="K214">
        <v>0.12</v>
      </c>
      <c r="L214" s="1" t="s">
        <v>1085</v>
      </c>
      <c r="M214" s="1" t="s">
        <v>1107</v>
      </c>
      <c r="N214" t="s">
        <v>1241</v>
      </c>
    </row>
    <row r="215" spans="1:14">
      <c r="A215" s="1" t="s">
        <v>1735</v>
      </c>
      <c r="B215" s="1" t="s">
        <v>1736</v>
      </c>
      <c r="C215" s="1" t="s">
        <v>1285</v>
      </c>
      <c r="D215" s="1" t="s">
        <v>1097</v>
      </c>
      <c r="E215" s="1" t="s">
        <v>1098</v>
      </c>
      <c r="F215" s="1" t="s">
        <v>1083</v>
      </c>
      <c r="G215" s="1" t="s">
        <v>1084</v>
      </c>
      <c r="H215">
        <v>58</v>
      </c>
      <c r="I215" t="s">
        <v>1737</v>
      </c>
      <c r="J215">
        <v>85716</v>
      </c>
      <c r="K215">
        <v>0</v>
      </c>
      <c r="L215" s="1" t="s">
        <v>1100</v>
      </c>
      <c r="M215" s="1" t="s">
        <v>1123</v>
      </c>
      <c r="N215" t="s">
        <v>1241</v>
      </c>
    </row>
    <row r="216" spans="1:14">
      <c r="A216" s="1" t="s">
        <v>1738</v>
      </c>
      <c r="B216" s="1" t="s">
        <v>1739</v>
      </c>
      <c r="C216" s="1" t="s">
        <v>1110</v>
      </c>
      <c r="D216" s="1" t="s">
        <v>1127</v>
      </c>
      <c r="E216" s="1" t="s">
        <v>1091</v>
      </c>
      <c r="F216" s="1" t="s">
        <v>1105</v>
      </c>
      <c r="G216" s="1" t="s">
        <v>1106</v>
      </c>
      <c r="H216">
        <v>62</v>
      </c>
      <c r="I216" t="s">
        <v>1740</v>
      </c>
      <c r="J216">
        <v>185026</v>
      </c>
      <c r="K216">
        <v>0.24</v>
      </c>
      <c r="L216" s="1" t="s">
        <v>1221</v>
      </c>
      <c r="M216" s="1" t="s">
        <v>1443</v>
      </c>
      <c r="N216" t="s">
        <v>1241</v>
      </c>
    </row>
    <row r="217" spans="1:14">
      <c r="A217" s="1" t="s">
        <v>1741</v>
      </c>
      <c r="B217" s="1" t="s">
        <v>1742</v>
      </c>
      <c r="C217" s="1" t="s">
        <v>1160</v>
      </c>
      <c r="D217" s="1" t="s">
        <v>1090</v>
      </c>
      <c r="E217" s="1" t="s">
        <v>1082</v>
      </c>
      <c r="F217" s="1" t="s">
        <v>1105</v>
      </c>
      <c r="G217" s="1" t="s">
        <v>1106</v>
      </c>
      <c r="H217">
        <v>27</v>
      </c>
      <c r="I217">
        <v>44451</v>
      </c>
      <c r="J217">
        <v>182403</v>
      </c>
      <c r="K217">
        <v>0.3</v>
      </c>
      <c r="L217" s="1" t="s">
        <v>1221</v>
      </c>
      <c r="M217" s="1" t="s">
        <v>1298</v>
      </c>
      <c r="N217" t="s">
        <v>1241</v>
      </c>
    </row>
    <row r="218" spans="1:14">
      <c r="A218" s="1" t="s">
        <v>1743</v>
      </c>
      <c r="B218" s="1" t="s">
        <v>1744</v>
      </c>
      <c r="C218" s="1" t="s">
        <v>1160</v>
      </c>
      <c r="D218" s="1" t="s">
        <v>1120</v>
      </c>
      <c r="E218" s="1" t="s">
        <v>1091</v>
      </c>
      <c r="F218" s="1" t="s">
        <v>1105</v>
      </c>
      <c r="G218" s="1" t="s">
        <v>1084</v>
      </c>
      <c r="H218">
        <v>63</v>
      </c>
      <c r="I218">
        <v>38329</v>
      </c>
      <c r="J218">
        <v>193531</v>
      </c>
      <c r="K218">
        <v>0.4</v>
      </c>
      <c r="L218" s="1" t="s">
        <v>1100</v>
      </c>
      <c r="M218" s="1" t="s">
        <v>1101</v>
      </c>
      <c r="N218" t="s">
        <v>1241</v>
      </c>
    </row>
    <row r="219" spans="1:14">
      <c r="A219" s="1" t="s">
        <v>1745</v>
      </c>
      <c r="B219" s="1" t="s">
        <v>1746</v>
      </c>
      <c r="C219" s="1" t="s">
        <v>1136</v>
      </c>
      <c r="D219" s="1" t="s">
        <v>1097</v>
      </c>
      <c r="E219" s="1" t="s">
        <v>1098</v>
      </c>
      <c r="F219" s="1" t="s">
        <v>1105</v>
      </c>
      <c r="G219" s="1" t="s">
        <v>1084</v>
      </c>
      <c r="H219">
        <v>52</v>
      </c>
      <c r="I219">
        <v>41611</v>
      </c>
      <c r="J219">
        <v>128301</v>
      </c>
      <c r="K219">
        <v>0.06</v>
      </c>
      <c r="L219" s="1" t="s">
        <v>1100</v>
      </c>
      <c r="M219" s="1" t="s">
        <v>1188</v>
      </c>
      <c r="N219" t="s">
        <v>1747</v>
      </c>
    </row>
    <row r="220" spans="1:14">
      <c r="A220" s="1" t="s">
        <v>1748</v>
      </c>
      <c r="B220" s="1" t="s">
        <v>1749</v>
      </c>
      <c r="C220" s="1" t="s">
        <v>1089</v>
      </c>
      <c r="D220" s="1" t="s">
        <v>1127</v>
      </c>
      <c r="E220" s="1" t="s">
        <v>1082</v>
      </c>
      <c r="F220" s="1" t="s">
        <v>1083</v>
      </c>
      <c r="G220" s="1" t="s">
        <v>1106</v>
      </c>
      <c r="H220">
        <v>36</v>
      </c>
      <c r="I220">
        <v>43718</v>
      </c>
      <c r="J220">
        <v>51669</v>
      </c>
      <c r="K220">
        <v>0</v>
      </c>
      <c r="L220" s="1" t="s">
        <v>1221</v>
      </c>
      <c r="M220" s="1" t="s">
        <v>1222</v>
      </c>
      <c r="N220" t="s">
        <v>1750</v>
      </c>
    </row>
    <row r="221" spans="1:14">
      <c r="A221" s="1" t="s">
        <v>1751</v>
      </c>
      <c r="B221" s="1" t="s">
        <v>1752</v>
      </c>
      <c r="C221" s="1" t="s">
        <v>1318</v>
      </c>
      <c r="D221" s="1" t="s">
        <v>1081</v>
      </c>
      <c r="E221" s="1" t="s">
        <v>1098</v>
      </c>
      <c r="F221" s="1" t="s">
        <v>1105</v>
      </c>
      <c r="G221" s="1" t="s">
        <v>1084</v>
      </c>
      <c r="H221">
        <v>47</v>
      </c>
      <c r="I221" t="s">
        <v>1753</v>
      </c>
      <c r="J221">
        <v>104289</v>
      </c>
      <c r="K221">
        <v>0</v>
      </c>
      <c r="L221" s="1" t="s">
        <v>1085</v>
      </c>
      <c r="M221" s="1" t="s">
        <v>1107</v>
      </c>
      <c r="N221" t="s">
        <v>1241</v>
      </c>
    </row>
    <row r="222" spans="1:14">
      <c r="A222" s="1" t="s">
        <v>1754</v>
      </c>
      <c r="B222" s="1" t="s">
        <v>1755</v>
      </c>
      <c r="C222" s="1" t="s">
        <v>1275</v>
      </c>
      <c r="D222" s="1" t="s">
        <v>1097</v>
      </c>
      <c r="E222" s="1" t="s">
        <v>1121</v>
      </c>
      <c r="F222" s="1" t="s">
        <v>1083</v>
      </c>
      <c r="G222" s="1" t="s">
        <v>1133</v>
      </c>
      <c r="H222">
        <v>27</v>
      </c>
      <c r="I222" t="s">
        <v>1756</v>
      </c>
      <c r="J222">
        <v>70181</v>
      </c>
      <c r="K222">
        <v>0</v>
      </c>
      <c r="L222" s="1" t="s">
        <v>1085</v>
      </c>
      <c r="M222" s="1" t="s">
        <v>1116</v>
      </c>
      <c r="N222" t="s">
        <v>1241</v>
      </c>
    </row>
    <row r="223" spans="1:14">
      <c r="A223" s="1" t="s">
        <v>1757</v>
      </c>
      <c r="B223" s="1" t="s">
        <v>1758</v>
      </c>
      <c r="C223" s="1" t="s">
        <v>1294</v>
      </c>
      <c r="D223" s="1" t="s">
        <v>1097</v>
      </c>
      <c r="E223" s="1" t="s">
        <v>1091</v>
      </c>
      <c r="F223" s="1" t="s">
        <v>1105</v>
      </c>
      <c r="G223" s="1" t="s">
        <v>1133</v>
      </c>
      <c r="H223">
        <v>45</v>
      </c>
      <c r="I223" t="s">
        <v>1759</v>
      </c>
      <c r="J223">
        <v>92317</v>
      </c>
      <c r="K223">
        <v>0.06</v>
      </c>
      <c r="L223" s="1" t="s">
        <v>1085</v>
      </c>
      <c r="M223" s="1" t="s">
        <v>1112</v>
      </c>
      <c r="N223" t="s">
        <v>1241</v>
      </c>
    </row>
    <row r="224" spans="1:14">
      <c r="A224" s="1" t="s">
        <v>1760</v>
      </c>
      <c r="B224" s="1" t="s">
        <v>1761</v>
      </c>
      <c r="C224" s="1" t="s">
        <v>1119</v>
      </c>
      <c r="D224" s="1" t="s">
        <v>1148</v>
      </c>
      <c r="E224" s="1" t="s">
        <v>1091</v>
      </c>
      <c r="F224" s="1" t="s">
        <v>1083</v>
      </c>
      <c r="G224" s="1" t="s">
        <v>1153</v>
      </c>
      <c r="H224">
        <v>47</v>
      </c>
      <c r="I224">
        <v>44754</v>
      </c>
      <c r="J224">
        <v>99382</v>
      </c>
      <c r="K224">
        <v>0</v>
      </c>
      <c r="L224" s="1" t="s">
        <v>1085</v>
      </c>
      <c r="M224" s="1" t="s">
        <v>1093</v>
      </c>
      <c r="N224" t="s">
        <v>1241</v>
      </c>
    </row>
    <row r="225" spans="1:14">
      <c r="A225" s="1" t="s">
        <v>1762</v>
      </c>
      <c r="B225" s="1" t="s">
        <v>1763</v>
      </c>
      <c r="C225" s="1" t="s">
        <v>1528</v>
      </c>
      <c r="D225" s="1" t="s">
        <v>1097</v>
      </c>
      <c r="E225" s="1" t="s">
        <v>1121</v>
      </c>
      <c r="F225" s="1" t="s">
        <v>1105</v>
      </c>
      <c r="G225" s="1" t="s">
        <v>1133</v>
      </c>
      <c r="H225">
        <v>26</v>
      </c>
      <c r="I225" t="s">
        <v>1764</v>
      </c>
      <c r="J225">
        <v>67702</v>
      </c>
      <c r="K225">
        <v>0</v>
      </c>
      <c r="L225" s="1" t="s">
        <v>1085</v>
      </c>
      <c r="M225" s="1" t="s">
        <v>1107</v>
      </c>
      <c r="N225" t="s">
        <v>1241</v>
      </c>
    </row>
    <row r="226" spans="1:14">
      <c r="A226" s="1" t="s">
        <v>1765</v>
      </c>
      <c r="B226" s="1" t="s">
        <v>1766</v>
      </c>
      <c r="C226" s="1" t="s">
        <v>1126</v>
      </c>
      <c r="D226" s="1" t="s">
        <v>1127</v>
      </c>
      <c r="E226" s="1" t="s">
        <v>1098</v>
      </c>
      <c r="F226" s="1" t="s">
        <v>1083</v>
      </c>
      <c r="G226" s="1" t="s">
        <v>1084</v>
      </c>
      <c r="H226">
        <v>58</v>
      </c>
      <c r="I226" t="s">
        <v>1767</v>
      </c>
      <c r="J226">
        <v>53133</v>
      </c>
      <c r="K226">
        <v>0</v>
      </c>
      <c r="L226" s="1" t="s">
        <v>1100</v>
      </c>
      <c r="M226" s="1" t="s">
        <v>1129</v>
      </c>
      <c r="N226" t="s">
        <v>1241</v>
      </c>
    </row>
    <row r="227" spans="1:14">
      <c r="A227" s="1" t="s">
        <v>1768</v>
      </c>
      <c r="B227" s="1" t="s">
        <v>1769</v>
      </c>
      <c r="C227" s="1" t="s">
        <v>1632</v>
      </c>
      <c r="D227" s="1" t="s">
        <v>1081</v>
      </c>
      <c r="E227" s="1" t="s">
        <v>1091</v>
      </c>
      <c r="F227" s="1" t="s">
        <v>1105</v>
      </c>
      <c r="G227" s="1" t="s">
        <v>1106</v>
      </c>
      <c r="H227">
        <v>60</v>
      </c>
      <c r="I227" t="s">
        <v>1770</v>
      </c>
      <c r="J227">
        <v>110554</v>
      </c>
      <c r="K227">
        <v>0</v>
      </c>
      <c r="L227" s="1" t="s">
        <v>1221</v>
      </c>
      <c r="M227" s="1" t="s">
        <v>1298</v>
      </c>
      <c r="N227" t="s">
        <v>1241</v>
      </c>
    </row>
    <row r="228" spans="1:14">
      <c r="A228" s="1" t="s">
        <v>1771</v>
      </c>
      <c r="B228" s="1" t="s">
        <v>1772</v>
      </c>
      <c r="C228" s="1" t="s">
        <v>1136</v>
      </c>
      <c r="D228" s="1" t="s">
        <v>1127</v>
      </c>
      <c r="E228" s="1" t="s">
        <v>1091</v>
      </c>
      <c r="F228" s="1" t="s">
        <v>1083</v>
      </c>
      <c r="G228" s="1" t="s">
        <v>1084</v>
      </c>
      <c r="H228">
        <v>45</v>
      </c>
      <c r="I228">
        <v>40428</v>
      </c>
      <c r="J228">
        <v>109221</v>
      </c>
      <c r="K228">
        <v>0.09</v>
      </c>
      <c r="L228" s="1" t="s">
        <v>1085</v>
      </c>
      <c r="M228" s="1" t="s">
        <v>1112</v>
      </c>
      <c r="N228" t="s">
        <v>1241</v>
      </c>
    </row>
    <row r="229" spans="1:14">
      <c r="A229" s="1" t="s">
        <v>1773</v>
      </c>
      <c r="B229" s="1" t="s">
        <v>1774</v>
      </c>
      <c r="C229" s="1" t="s">
        <v>1104</v>
      </c>
      <c r="D229" s="1" t="s">
        <v>1097</v>
      </c>
      <c r="E229" s="1" t="s">
        <v>1121</v>
      </c>
      <c r="F229" s="1" t="s">
        <v>1105</v>
      </c>
      <c r="G229" s="1" t="s">
        <v>1106</v>
      </c>
      <c r="H229">
        <v>45</v>
      </c>
      <c r="I229">
        <v>39084</v>
      </c>
      <c r="J229">
        <v>88933</v>
      </c>
      <c r="K229">
        <v>0</v>
      </c>
      <c r="L229" s="1" t="s">
        <v>1085</v>
      </c>
      <c r="M229" s="1" t="s">
        <v>1086</v>
      </c>
      <c r="N229" t="s">
        <v>1241</v>
      </c>
    </row>
    <row r="230" spans="1:14">
      <c r="A230" s="1" t="s">
        <v>1775</v>
      </c>
      <c r="B230" s="1" t="s">
        <v>1776</v>
      </c>
      <c r="C230" s="1" t="s">
        <v>1213</v>
      </c>
      <c r="D230" s="1" t="s">
        <v>1208</v>
      </c>
      <c r="E230" s="1" t="s">
        <v>1082</v>
      </c>
      <c r="F230" s="1" t="s">
        <v>1083</v>
      </c>
      <c r="G230" s="1" t="s">
        <v>1133</v>
      </c>
      <c r="H230">
        <v>40</v>
      </c>
      <c r="I230">
        <v>41862</v>
      </c>
      <c r="J230">
        <v>49342</v>
      </c>
      <c r="K230">
        <v>0</v>
      </c>
      <c r="L230" s="1" t="s">
        <v>1085</v>
      </c>
      <c r="M230" s="1" t="s">
        <v>1107</v>
      </c>
      <c r="N230" t="s">
        <v>1777</v>
      </c>
    </row>
    <row r="231" spans="1:14">
      <c r="A231" s="1" t="s">
        <v>1778</v>
      </c>
      <c r="B231" s="1" t="s">
        <v>1779</v>
      </c>
      <c r="C231" s="1" t="s">
        <v>1275</v>
      </c>
      <c r="D231" s="1" t="s">
        <v>1097</v>
      </c>
      <c r="E231" s="1" t="s">
        <v>1082</v>
      </c>
      <c r="F231" s="1" t="s">
        <v>1083</v>
      </c>
      <c r="G231" s="1" t="s">
        <v>1133</v>
      </c>
      <c r="H231">
        <v>27</v>
      </c>
      <c r="I231">
        <v>44811</v>
      </c>
      <c r="J231">
        <v>74587</v>
      </c>
      <c r="K231">
        <v>0</v>
      </c>
      <c r="L231" s="1" t="s">
        <v>1085</v>
      </c>
      <c r="M231" s="1" t="s">
        <v>1112</v>
      </c>
      <c r="N231" t="s">
        <v>1241</v>
      </c>
    </row>
    <row r="232" spans="1:14">
      <c r="A232" s="1" t="s">
        <v>1780</v>
      </c>
      <c r="B232" s="1" t="s">
        <v>1781</v>
      </c>
      <c r="C232" s="1" t="s">
        <v>1119</v>
      </c>
      <c r="D232" s="1" t="s">
        <v>1120</v>
      </c>
      <c r="E232" s="1" t="s">
        <v>1082</v>
      </c>
      <c r="F232" s="1" t="s">
        <v>1083</v>
      </c>
      <c r="G232" s="1" t="s">
        <v>1084</v>
      </c>
      <c r="H232">
        <v>36</v>
      </c>
      <c r="I232" t="s">
        <v>1782</v>
      </c>
      <c r="J232">
        <v>80757</v>
      </c>
      <c r="K232">
        <v>0</v>
      </c>
      <c r="L232" s="1" t="s">
        <v>1100</v>
      </c>
      <c r="M232" s="1" t="s">
        <v>1123</v>
      </c>
      <c r="N232" t="s">
        <v>1241</v>
      </c>
    </row>
    <row r="233" spans="1:14">
      <c r="A233" s="1" t="s">
        <v>1783</v>
      </c>
      <c r="B233" s="1" t="s">
        <v>1784</v>
      </c>
      <c r="C233" s="1" t="s">
        <v>1110</v>
      </c>
      <c r="D233" s="1" t="s">
        <v>1127</v>
      </c>
      <c r="E233" s="1" t="s">
        <v>1091</v>
      </c>
      <c r="F233" s="1" t="s">
        <v>1083</v>
      </c>
      <c r="G233" s="1" t="s">
        <v>1084</v>
      </c>
      <c r="H233">
        <v>28</v>
      </c>
      <c r="I233">
        <v>44905</v>
      </c>
      <c r="J233">
        <v>198662</v>
      </c>
      <c r="K233">
        <v>0.25</v>
      </c>
      <c r="L233" s="1" t="s">
        <v>1100</v>
      </c>
      <c r="M233" s="1" t="s">
        <v>1188</v>
      </c>
      <c r="N233" t="s">
        <v>1241</v>
      </c>
    </row>
    <row r="234" spans="1:14">
      <c r="A234" s="1" t="s">
        <v>1785</v>
      </c>
      <c r="B234" s="1" t="s">
        <v>1786</v>
      </c>
      <c r="C234" s="1" t="s">
        <v>1152</v>
      </c>
      <c r="D234" s="1" t="s">
        <v>1148</v>
      </c>
      <c r="E234" s="1" t="s">
        <v>1082</v>
      </c>
      <c r="F234" s="1" t="s">
        <v>1105</v>
      </c>
      <c r="G234" s="1" t="s">
        <v>1153</v>
      </c>
      <c r="H234">
        <v>57</v>
      </c>
      <c r="I234">
        <v>44538</v>
      </c>
      <c r="J234">
        <v>142506</v>
      </c>
      <c r="K234">
        <v>0.11</v>
      </c>
      <c r="L234" s="1" t="s">
        <v>1085</v>
      </c>
      <c r="M234" s="1" t="s">
        <v>1112</v>
      </c>
      <c r="N234" t="s">
        <v>1241</v>
      </c>
    </row>
    <row r="235" spans="1:14">
      <c r="A235" s="1" t="s">
        <v>1787</v>
      </c>
      <c r="B235" s="1" t="s">
        <v>1788</v>
      </c>
      <c r="C235" s="1" t="s">
        <v>1560</v>
      </c>
      <c r="D235" s="1" t="s">
        <v>1097</v>
      </c>
      <c r="E235" s="1" t="s">
        <v>1082</v>
      </c>
      <c r="F235" s="1" t="s">
        <v>1083</v>
      </c>
      <c r="G235" s="1" t="s">
        <v>1153</v>
      </c>
      <c r="H235">
        <v>57</v>
      </c>
      <c r="I235" t="s">
        <v>1789</v>
      </c>
      <c r="J235">
        <v>77028</v>
      </c>
      <c r="K235">
        <v>0</v>
      </c>
      <c r="L235" s="1" t="s">
        <v>1085</v>
      </c>
      <c r="M235" s="1" t="s">
        <v>1107</v>
      </c>
      <c r="N235" t="s">
        <v>1241</v>
      </c>
    </row>
    <row r="236" spans="1:14">
      <c r="A236" s="1" t="s">
        <v>1790</v>
      </c>
      <c r="B236" s="1" t="s">
        <v>1791</v>
      </c>
      <c r="C236" s="1" t="s">
        <v>1275</v>
      </c>
      <c r="D236" s="1" t="s">
        <v>1097</v>
      </c>
      <c r="E236" s="1" t="s">
        <v>1098</v>
      </c>
      <c r="F236" s="1" t="s">
        <v>1083</v>
      </c>
      <c r="G236" s="1" t="s">
        <v>1106</v>
      </c>
      <c r="H236">
        <v>30</v>
      </c>
      <c r="I236">
        <v>42979</v>
      </c>
      <c r="J236">
        <v>80389</v>
      </c>
      <c r="K236">
        <v>0</v>
      </c>
      <c r="L236" s="1" t="s">
        <v>1221</v>
      </c>
      <c r="M236" s="1" t="s">
        <v>1443</v>
      </c>
      <c r="N236">
        <v>43017</v>
      </c>
    </row>
    <row r="237" spans="1:14">
      <c r="A237" s="1" t="s">
        <v>1792</v>
      </c>
      <c r="B237" s="1" t="s">
        <v>1793</v>
      </c>
      <c r="C237" s="1" t="s">
        <v>1160</v>
      </c>
      <c r="D237" s="1" t="s">
        <v>1081</v>
      </c>
      <c r="E237" s="1" t="s">
        <v>1121</v>
      </c>
      <c r="F237" s="1" t="s">
        <v>1105</v>
      </c>
      <c r="G237" s="1" t="s">
        <v>1133</v>
      </c>
      <c r="H237">
        <v>26</v>
      </c>
      <c r="I237" t="s">
        <v>1333</v>
      </c>
      <c r="J237">
        <v>249062</v>
      </c>
      <c r="K237">
        <v>0.39</v>
      </c>
      <c r="L237" s="1" t="s">
        <v>1085</v>
      </c>
      <c r="M237" s="1" t="s">
        <v>1137</v>
      </c>
      <c r="N237" t="s">
        <v>1241</v>
      </c>
    </row>
    <row r="238" spans="1:14">
      <c r="A238" s="1" t="s">
        <v>1794</v>
      </c>
      <c r="B238" s="1" t="s">
        <v>1795</v>
      </c>
      <c r="C238" s="1" t="s">
        <v>1269</v>
      </c>
      <c r="D238" s="1" t="s">
        <v>1097</v>
      </c>
      <c r="E238" s="1" t="s">
        <v>1091</v>
      </c>
      <c r="F238" s="1" t="s">
        <v>1105</v>
      </c>
      <c r="G238" s="1" t="s">
        <v>1106</v>
      </c>
      <c r="H238">
        <v>53</v>
      </c>
      <c r="I238">
        <v>41487</v>
      </c>
      <c r="J238">
        <v>52675</v>
      </c>
      <c r="K238">
        <v>0</v>
      </c>
      <c r="L238" s="1" t="s">
        <v>1221</v>
      </c>
      <c r="M238" s="1" t="s">
        <v>1443</v>
      </c>
      <c r="N238" t="s">
        <v>1241</v>
      </c>
    </row>
    <row r="239" spans="1:14">
      <c r="A239" s="1" t="s">
        <v>1796</v>
      </c>
      <c r="B239" s="1" t="s">
        <v>1797</v>
      </c>
      <c r="C239" s="1" t="s">
        <v>1591</v>
      </c>
      <c r="D239" s="1" t="s">
        <v>1090</v>
      </c>
      <c r="E239" s="1" t="s">
        <v>1082</v>
      </c>
      <c r="F239" s="1" t="s">
        <v>1083</v>
      </c>
      <c r="G239" s="1" t="s">
        <v>1084</v>
      </c>
      <c r="H239">
        <v>59</v>
      </c>
      <c r="I239">
        <v>41948</v>
      </c>
      <c r="J239">
        <v>83365</v>
      </c>
      <c r="K239">
        <v>0</v>
      </c>
      <c r="L239" s="1" t="s">
        <v>1100</v>
      </c>
      <c r="M239" s="1" t="s">
        <v>1123</v>
      </c>
      <c r="N239" t="s">
        <v>1241</v>
      </c>
    </row>
    <row r="240" spans="1:14">
      <c r="A240" s="1" t="s">
        <v>1798</v>
      </c>
      <c r="B240" s="1" t="s">
        <v>1799</v>
      </c>
      <c r="C240" s="1" t="s">
        <v>1358</v>
      </c>
      <c r="D240" s="1" t="s">
        <v>1097</v>
      </c>
      <c r="E240" s="1" t="s">
        <v>1121</v>
      </c>
      <c r="F240" s="1" t="s">
        <v>1083</v>
      </c>
      <c r="G240" s="1" t="s">
        <v>1084</v>
      </c>
      <c r="H240">
        <v>56</v>
      </c>
      <c r="I240" t="s">
        <v>1800</v>
      </c>
      <c r="J240">
        <v>82758</v>
      </c>
      <c r="K240">
        <v>0</v>
      </c>
      <c r="L240" s="1" t="s">
        <v>1085</v>
      </c>
      <c r="M240" s="1" t="s">
        <v>1107</v>
      </c>
      <c r="N240" t="s">
        <v>1241</v>
      </c>
    </row>
    <row r="241" spans="1:14">
      <c r="A241" s="1" t="s">
        <v>1801</v>
      </c>
      <c r="B241" s="1" t="s">
        <v>1802</v>
      </c>
      <c r="C241" s="1" t="s">
        <v>1136</v>
      </c>
      <c r="D241" s="1" t="s">
        <v>1097</v>
      </c>
      <c r="E241" s="1" t="s">
        <v>1091</v>
      </c>
      <c r="F241" s="1" t="s">
        <v>1083</v>
      </c>
      <c r="G241" s="1" t="s">
        <v>1133</v>
      </c>
      <c r="H241">
        <v>41</v>
      </c>
      <c r="I241" t="s">
        <v>1803</v>
      </c>
      <c r="J241">
        <v>126406</v>
      </c>
      <c r="K241">
        <v>0.1</v>
      </c>
      <c r="L241" s="1" t="s">
        <v>1085</v>
      </c>
      <c r="M241" s="1" t="s">
        <v>1093</v>
      </c>
      <c r="N241" t="s">
        <v>1241</v>
      </c>
    </row>
    <row r="242" spans="1:14">
      <c r="A242" s="1" t="s">
        <v>1804</v>
      </c>
      <c r="B242" s="1" t="s">
        <v>1805</v>
      </c>
      <c r="C242" s="1" t="s">
        <v>1136</v>
      </c>
      <c r="D242" s="1" t="s">
        <v>1148</v>
      </c>
      <c r="E242" s="1" t="s">
        <v>1091</v>
      </c>
      <c r="F242" s="1" t="s">
        <v>1105</v>
      </c>
      <c r="G242" s="1" t="s">
        <v>1084</v>
      </c>
      <c r="H242">
        <v>46</v>
      </c>
      <c r="I242" t="s">
        <v>1806</v>
      </c>
      <c r="J242">
        <v>103147</v>
      </c>
      <c r="K242">
        <v>0.06</v>
      </c>
      <c r="L242" s="1" t="s">
        <v>1085</v>
      </c>
      <c r="M242" s="1" t="s">
        <v>1137</v>
      </c>
      <c r="N242" t="s">
        <v>1241</v>
      </c>
    </row>
    <row r="243" spans="1:14">
      <c r="A243" s="1" t="s">
        <v>1807</v>
      </c>
      <c r="B243" s="1" t="s">
        <v>1808</v>
      </c>
      <c r="C243" s="1" t="s">
        <v>1104</v>
      </c>
      <c r="D243" s="1" t="s">
        <v>1097</v>
      </c>
      <c r="E243" s="1" t="s">
        <v>1082</v>
      </c>
      <c r="F243" s="1" t="s">
        <v>1083</v>
      </c>
      <c r="G243" s="1" t="s">
        <v>1106</v>
      </c>
      <c r="H243">
        <v>49</v>
      </c>
      <c r="I243">
        <v>43931</v>
      </c>
      <c r="J243">
        <v>81622</v>
      </c>
      <c r="K243">
        <v>0</v>
      </c>
      <c r="L243" s="1" t="s">
        <v>1085</v>
      </c>
      <c r="M243" s="1" t="s">
        <v>1093</v>
      </c>
      <c r="N243" t="s">
        <v>1241</v>
      </c>
    </row>
    <row r="244" spans="1:14">
      <c r="A244" s="1" t="s">
        <v>1809</v>
      </c>
      <c r="B244" s="1" t="s">
        <v>1810</v>
      </c>
      <c r="C244" s="1" t="s">
        <v>1140</v>
      </c>
      <c r="D244" s="1" t="s">
        <v>1097</v>
      </c>
      <c r="E244" s="1" t="s">
        <v>1121</v>
      </c>
      <c r="F244" s="1" t="s">
        <v>1083</v>
      </c>
      <c r="G244" s="1" t="s">
        <v>1133</v>
      </c>
      <c r="H244">
        <v>42</v>
      </c>
      <c r="I244" t="s">
        <v>1462</v>
      </c>
      <c r="J244">
        <v>44265</v>
      </c>
      <c r="K244">
        <v>0</v>
      </c>
      <c r="L244" s="1" t="s">
        <v>1085</v>
      </c>
      <c r="M244" s="1" t="s">
        <v>1112</v>
      </c>
      <c r="N244" t="s">
        <v>1811</v>
      </c>
    </row>
    <row r="245" spans="1:14">
      <c r="A245" s="1" t="s">
        <v>1812</v>
      </c>
      <c r="B245" s="1" t="s">
        <v>1813</v>
      </c>
      <c r="C245" s="1" t="s">
        <v>1160</v>
      </c>
      <c r="D245" s="1" t="s">
        <v>1090</v>
      </c>
      <c r="E245" s="1" t="s">
        <v>1121</v>
      </c>
      <c r="F245" s="1" t="s">
        <v>1105</v>
      </c>
      <c r="G245" s="1" t="s">
        <v>1084</v>
      </c>
      <c r="H245">
        <v>55</v>
      </c>
      <c r="I245">
        <v>36222</v>
      </c>
      <c r="J245">
        <v>213998</v>
      </c>
      <c r="K245">
        <v>0.34</v>
      </c>
      <c r="L245" s="1" t="s">
        <v>1085</v>
      </c>
      <c r="M245" s="1" t="s">
        <v>1137</v>
      </c>
      <c r="N245" t="s">
        <v>1241</v>
      </c>
    </row>
    <row r="246" spans="1:14">
      <c r="A246" s="1" t="s">
        <v>1814</v>
      </c>
      <c r="B246" s="1" t="s">
        <v>1815</v>
      </c>
      <c r="C246" s="1" t="s">
        <v>1110</v>
      </c>
      <c r="D246" s="1" t="s">
        <v>1097</v>
      </c>
      <c r="E246" s="1" t="s">
        <v>1098</v>
      </c>
      <c r="F246" s="1" t="s">
        <v>1083</v>
      </c>
      <c r="G246" s="1" t="s">
        <v>1106</v>
      </c>
      <c r="H246">
        <v>44</v>
      </c>
      <c r="I246" t="s">
        <v>1816</v>
      </c>
      <c r="J246">
        <v>171823</v>
      </c>
      <c r="K246">
        <v>0.27</v>
      </c>
      <c r="L246" s="1" t="s">
        <v>1085</v>
      </c>
      <c r="M246" s="1" t="s">
        <v>1086</v>
      </c>
      <c r="N246" t="s">
        <v>1241</v>
      </c>
    </row>
    <row r="247" spans="1:14">
      <c r="A247" s="1" t="s">
        <v>1817</v>
      </c>
      <c r="B247" s="1" t="s">
        <v>1818</v>
      </c>
      <c r="C247" s="1" t="s">
        <v>1160</v>
      </c>
      <c r="D247" s="1" t="s">
        <v>1120</v>
      </c>
      <c r="E247" s="1" t="s">
        <v>1082</v>
      </c>
      <c r="F247" s="1" t="s">
        <v>1083</v>
      </c>
      <c r="G247" s="1" t="s">
        <v>1084</v>
      </c>
      <c r="H247">
        <v>28</v>
      </c>
      <c r="I247">
        <v>43262</v>
      </c>
      <c r="J247">
        <v>201013</v>
      </c>
      <c r="K247">
        <v>0.31</v>
      </c>
      <c r="L247" s="1" t="s">
        <v>1085</v>
      </c>
      <c r="M247" s="1" t="s">
        <v>1116</v>
      </c>
      <c r="N247" t="s">
        <v>1241</v>
      </c>
    </row>
    <row r="248" spans="1:14">
      <c r="A248" s="1" t="s">
        <v>1819</v>
      </c>
      <c r="B248" s="1" t="s">
        <v>1820</v>
      </c>
      <c r="C248" s="1" t="s">
        <v>1110</v>
      </c>
      <c r="D248" s="1" t="s">
        <v>1097</v>
      </c>
      <c r="E248" s="1" t="s">
        <v>1082</v>
      </c>
      <c r="F248" s="1" t="s">
        <v>1083</v>
      </c>
      <c r="G248" s="1" t="s">
        <v>1153</v>
      </c>
      <c r="H248">
        <v>41</v>
      </c>
      <c r="I248" t="s">
        <v>1821</v>
      </c>
      <c r="J248">
        <v>192944</v>
      </c>
      <c r="K248">
        <v>0.22</v>
      </c>
      <c r="L248" s="1" t="s">
        <v>1085</v>
      </c>
      <c r="M248" s="1" t="s">
        <v>1137</v>
      </c>
      <c r="N248" t="s">
        <v>1241</v>
      </c>
    </row>
    <row r="249" spans="1:14">
      <c r="A249" s="1" t="s">
        <v>1822</v>
      </c>
      <c r="B249" s="1" t="s">
        <v>1823</v>
      </c>
      <c r="C249" s="1" t="s">
        <v>1080</v>
      </c>
      <c r="D249" s="1" t="s">
        <v>1081</v>
      </c>
      <c r="E249" s="1" t="s">
        <v>1082</v>
      </c>
      <c r="F249" s="1" t="s">
        <v>1083</v>
      </c>
      <c r="G249" s="1" t="s">
        <v>1084</v>
      </c>
      <c r="H249">
        <v>60</v>
      </c>
      <c r="I249" t="s">
        <v>1824</v>
      </c>
      <c r="J249">
        <v>81699</v>
      </c>
      <c r="K249">
        <v>0</v>
      </c>
      <c r="L249" s="1" t="s">
        <v>1100</v>
      </c>
      <c r="M249" s="1" t="s">
        <v>1188</v>
      </c>
      <c r="N249" t="s">
        <v>1241</v>
      </c>
    </row>
    <row r="250" spans="1:14">
      <c r="A250" s="1" t="s">
        <v>1825</v>
      </c>
      <c r="B250" s="1" t="s">
        <v>1826</v>
      </c>
      <c r="C250" s="1" t="s">
        <v>1136</v>
      </c>
      <c r="D250" s="1" t="s">
        <v>1090</v>
      </c>
      <c r="E250" s="1" t="s">
        <v>1082</v>
      </c>
      <c r="F250" s="1" t="s">
        <v>1105</v>
      </c>
      <c r="G250" s="1" t="s">
        <v>1084</v>
      </c>
      <c r="H250">
        <v>54</v>
      </c>
      <c r="I250" t="s">
        <v>1827</v>
      </c>
      <c r="J250">
        <v>128791</v>
      </c>
      <c r="K250">
        <v>0.06</v>
      </c>
      <c r="L250" s="1" t="s">
        <v>1085</v>
      </c>
      <c r="M250" s="1" t="s">
        <v>1137</v>
      </c>
      <c r="N250" t="s">
        <v>1241</v>
      </c>
    </row>
    <row r="251" spans="1:14">
      <c r="A251" s="1" t="s">
        <v>1828</v>
      </c>
      <c r="B251" s="1" t="s">
        <v>1829</v>
      </c>
      <c r="C251" s="1" t="s">
        <v>1136</v>
      </c>
      <c r="D251" s="1" t="s">
        <v>1097</v>
      </c>
      <c r="E251" s="1" t="s">
        <v>1098</v>
      </c>
      <c r="F251" s="1" t="s">
        <v>1105</v>
      </c>
      <c r="G251" s="1" t="s">
        <v>1106</v>
      </c>
      <c r="H251">
        <v>34</v>
      </c>
      <c r="I251">
        <v>42073</v>
      </c>
      <c r="J251">
        <v>126898</v>
      </c>
      <c r="K251">
        <v>0.1</v>
      </c>
      <c r="L251" s="1" t="s">
        <v>1221</v>
      </c>
      <c r="M251" s="1" t="s">
        <v>1443</v>
      </c>
      <c r="N251" t="s">
        <v>1241</v>
      </c>
    </row>
    <row r="252" spans="1:14">
      <c r="A252" s="1" t="s">
        <v>1830</v>
      </c>
      <c r="B252" s="1" t="s">
        <v>1831</v>
      </c>
      <c r="C252" s="1" t="s">
        <v>1528</v>
      </c>
      <c r="D252" s="1" t="s">
        <v>1097</v>
      </c>
      <c r="E252" s="1" t="s">
        <v>1121</v>
      </c>
      <c r="F252" s="1" t="s">
        <v>1105</v>
      </c>
      <c r="G252" s="1" t="s">
        <v>1106</v>
      </c>
      <c r="H252">
        <v>53</v>
      </c>
      <c r="I252" t="s">
        <v>1832</v>
      </c>
      <c r="J252">
        <v>93053</v>
      </c>
      <c r="K252">
        <v>0</v>
      </c>
      <c r="L252" s="1" t="s">
        <v>1221</v>
      </c>
      <c r="M252" s="1" t="s">
        <v>1298</v>
      </c>
      <c r="N252" t="s">
        <v>1241</v>
      </c>
    </row>
    <row r="253" spans="1:14">
      <c r="A253" s="1" t="s">
        <v>1833</v>
      </c>
      <c r="B253" s="1" t="s">
        <v>1834</v>
      </c>
      <c r="C253" s="1" t="s">
        <v>1140</v>
      </c>
      <c r="D253" s="1" t="s">
        <v>1097</v>
      </c>
      <c r="E253" s="1" t="s">
        <v>1091</v>
      </c>
      <c r="F253" s="1" t="s">
        <v>1105</v>
      </c>
      <c r="G253" s="1" t="s">
        <v>1084</v>
      </c>
      <c r="H253">
        <v>48</v>
      </c>
      <c r="I253" t="s">
        <v>1835</v>
      </c>
      <c r="J253">
        <v>50513</v>
      </c>
      <c r="K253">
        <v>0</v>
      </c>
      <c r="L253" s="1" t="s">
        <v>1085</v>
      </c>
      <c r="M253" s="1" t="s">
        <v>1107</v>
      </c>
      <c r="N253" t="s">
        <v>1836</v>
      </c>
    </row>
    <row r="254" spans="1:14">
      <c r="A254" s="1" t="s">
        <v>1837</v>
      </c>
      <c r="B254" s="1" t="s">
        <v>1838</v>
      </c>
      <c r="C254" s="1" t="s">
        <v>1591</v>
      </c>
      <c r="D254" s="1" t="s">
        <v>1090</v>
      </c>
      <c r="E254" s="1" t="s">
        <v>1091</v>
      </c>
      <c r="F254" s="1" t="s">
        <v>1105</v>
      </c>
      <c r="G254" s="1" t="s">
        <v>1106</v>
      </c>
      <c r="H254">
        <v>43</v>
      </c>
      <c r="I254">
        <v>42921</v>
      </c>
      <c r="J254">
        <v>86533</v>
      </c>
      <c r="K254">
        <v>0</v>
      </c>
      <c r="L254" s="1" t="s">
        <v>1085</v>
      </c>
      <c r="M254" s="1" t="s">
        <v>1086</v>
      </c>
      <c r="N254" t="s">
        <v>1241</v>
      </c>
    </row>
    <row r="255" spans="1:14">
      <c r="A255" s="1" t="s">
        <v>1839</v>
      </c>
      <c r="B255" s="1" t="s">
        <v>1840</v>
      </c>
      <c r="C255" s="1" t="s">
        <v>1216</v>
      </c>
      <c r="D255" s="1" t="s">
        <v>1081</v>
      </c>
      <c r="E255" s="1" t="s">
        <v>1098</v>
      </c>
      <c r="F255" s="1" t="s">
        <v>1105</v>
      </c>
      <c r="G255" s="1" t="s">
        <v>1084</v>
      </c>
      <c r="H255">
        <v>60</v>
      </c>
      <c r="I255" t="s">
        <v>1841</v>
      </c>
      <c r="J255">
        <v>72806</v>
      </c>
      <c r="K255">
        <v>0</v>
      </c>
      <c r="L255" s="1" t="s">
        <v>1100</v>
      </c>
      <c r="M255" s="1" t="s">
        <v>1123</v>
      </c>
      <c r="N255" t="s">
        <v>1241</v>
      </c>
    </row>
    <row r="256" spans="1:14">
      <c r="A256" s="1" t="s">
        <v>1842</v>
      </c>
      <c r="B256" s="1" t="s">
        <v>1843</v>
      </c>
      <c r="C256" s="1" t="s">
        <v>1160</v>
      </c>
      <c r="D256" s="1" t="s">
        <v>1090</v>
      </c>
      <c r="E256" s="1" t="s">
        <v>1121</v>
      </c>
      <c r="F256" s="1" t="s">
        <v>1105</v>
      </c>
      <c r="G256" s="1" t="s">
        <v>1153</v>
      </c>
      <c r="H256">
        <v>42</v>
      </c>
      <c r="I256">
        <v>43801</v>
      </c>
      <c r="J256">
        <v>258115</v>
      </c>
      <c r="K256">
        <v>0.36</v>
      </c>
      <c r="L256" s="1" t="s">
        <v>1085</v>
      </c>
      <c r="M256" s="1" t="s">
        <v>1112</v>
      </c>
      <c r="N256" t="s">
        <v>1241</v>
      </c>
    </row>
    <row r="257" spans="1:14">
      <c r="A257" s="1" t="s">
        <v>1844</v>
      </c>
      <c r="B257" s="1" t="s">
        <v>1845</v>
      </c>
      <c r="C257" s="1" t="s">
        <v>1275</v>
      </c>
      <c r="D257" s="1" t="s">
        <v>1097</v>
      </c>
      <c r="E257" s="1" t="s">
        <v>1082</v>
      </c>
      <c r="F257" s="1" t="s">
        <v>1083</v>
      </c>
      <c r="G257" s="1" t="s">
        <v>1106</v>
      </c>
      <c r="H257">
        <v>52</v>
      </c>
      <c r="I257">
        <v>39452</v>
      </c>
      <c r="J257">
        <v>63444</v>
      </c>
      <c r="K257">
        <v>0</v>
      </c>
      <c r="L257" s="1" t="s">
        <v>1085</v>
      </c>
      <c r="M257" s="1" t="s">
        <v>1137</v>
      </c>
      <c r="N257" t="s">
        <v>1241</v>
      </c>
    </row>
    <row r="258" spans="1:14">
      <c r="A258" s="1" t="s">
        <v>1846</v>
      </c>
      <c r="B258" s="1" t="s">
        <v>1847</v>
      </c>
      <c r="C258" s="1" t="s">
        <v>1412</v>
      </c>
      <c r="D258" s="1" t="s">
        <v>1081</v>
      </c>
      <c r="E258" s="1" t="s">
        <v>1121</v>
      </c>
      <c r="F258" s="1" t="s">
        <v>1083</v>
      </c>
      <c r="G258" s="1" t="s">
        <v>1133</v>
      </c>
      <c r="H258">
        <v>50</v>
      </c>
      <c r="I258" t="s">
        <v>1848</v>
      </c>
      <c r="J258">
        <v>96099</v>
      </c>
      <c r="K258">
        <v>0.11</v>
      </c>
      <c r="L258" s="1" t="s">
        <v>1085</v>
      </c>
      <c r="M258" s="1" t="s">
        <v>1093</v>
      </c>
      <c r="N258" t="s">
        <v>1241</v>
      </c>
    </row>
    <row r="259" spans="1:14">
      <c r="A259" s="1" t="s">
        <v>1849</v>
      </c>
      <c r="B259" s="1" t="s">
        <v>1850</v>
      </c>
      <c r="C259" s="1" t="s">
        <v>1104</v>
      </c>
      <c r="D259" s="1" t="s">
        <v>1097</v>
      </c>
      <c r="E259" s="1" t="s">
        <v>1082</v>
      </c>
      <c r="F259" s="1" t="s">
        <v>1105</v>
      </c>
      <c r="G259" s="1" t="s">
        <v>1106</v>
      </c>
      <c r="H259">
        <v>37</v>
      </c>
      <c r="I259">
        <v>39816</v>
      </c>
      <c r="J259">
        <v>92849</v>
      </c>
      <c r="K259">
        <v>0</v>
      </c>
      <c r="L259" s="1" t="s">
        <v>1085</v>
      </c>
      <c r="M259" s="1" t="s">
        <v>1093</v>
      </c>
      <c r="N259" t="s">
        <v>1241</v>
      </c>
    </row>
    <row r="260" spans="1:14">
      <c r="A260" s="1" t="s">
        <v>1851</v>
      </c>
      <c r="B260" s="1" t="s">
        <v>1852</v>
      </c>
      <c r="C260" s="1" t="s">
        <v>1591</v>
      </c>
      <c r="D260" s="1" t="s">
        <v>1090</v>
      </c>
      <c r="E260" s="1" t="s">
        <v>1082</v>
      </c>
      <c r="F260" s="1" t="s">
        <v>1083</v>
      </c>
      <c r="G260" s="1" t="s">
        <v>1084</v>
      </c>
      <c r="H260">
        <v>58</v>
      </c>
      <c r="I260" t="s">
        <v>1853</v>
      </c>
      <c r="J260">
        <v>85094</v>
      </c>
      <c r="K260">
        <v>0</v>
      </c>
      <c r="L260" s="1" t="s">
        <v>1100</v>
      </c>
      <c r="M260" s="1" t="s">
        <v>1129</v>
      </c>
      <c r="N260" t="s">
        <v>1241</v>
      </c>
    </row>
    <row r="261" spans="1:14">
      <c r="A261" s="1" t="s">
        <v>1854</v>
      </c>
      <c r="B261" s="1" t="s">
        <v>1855</v>
      </c>
      <c r="C261" s="1" t="s">
        <v>1152</v>
      </c>
      <c r="D261" s="1" t="s">
        <v>1148</v>
      </c>
      <c r="E261" s="1" t="s">
        <v>1091</v>
      </c>
      <c r="F261" s="1" t="s">
        <v>1105</v>
      </c>
      <c r="G261" s="1" t="s">
        <v>1106</v>
      </c>
      <c r="H261">
        <v>39</v>
      </c>
      <c r="I261" t="s">
        <v>1856</v>
      </c>
      <c r="J261">
        <v>156224</v>
      </c>
      <c r="K261">
        <v>0.14000000000000001</v>
      </c>
      <c r="L261" s="1" t="s">
        <v>1221</v>
      </c>
      <c r="M261" s="1" t="s">
        <v>1443</v>
      </c>
      <c r="N261" t="s">
        <v>1241</v>
      </c>
    </row>
    <row r="262" spans="1:14">
      <c r="A262" s="1" t="s">
        <v>1857</v>
      </c>
      <c r="B262" s="1" t="s">
        <v>1858</v>
      </c>
      <c r="C262" s="1" t="s">
        <v>1160</v>
      </c>
      <c r="D262" s="1" t="s">
        <v>1120</v>
      </c>
      <c r="E262" s="1" t="s">
        <v>1091</v>
      </c>
      <c r="F262" s="1" t="s">
        <v>1083</v>
      </c>
      <c r="G262" s="1" t="s">
        <v>1084</v>
      </c>
      <c r="H262">
        <v>50</v>
      </c>
      <c r="I262" t="s">
        <v>1859</v>
      </c>
      <c r="J262">
        <v>245920</v>
      </c>
      <c r="K262">
        <v>0.36</v>
      </c>
      <c r="L262" s="1" t="s">
        <v>1085</v>
      </c>
      <c r="M262" s="1" t="s">
        <v>1086</v>
      </c>
      <c r="N262" t="s">
        <v>1860</v>
      </c>
    </row>
    <row r="263" spans="1:14">
      <c r="A263" s="1" t="s">
        <v>1861</v>
      </c>
      <c r="B263" s="1" t="s">
        <v>1156</v>
      </c>
      <c r="C263" s="1" t="s">
        <v>1126</v>
      </c>
      <c r="D263" s="1" t="s">
        <v>1148</v>
      </c>
      <c r="E263" s="1" t="s">
        <v>1098</v>
      </c>
      <c r="F263" s="1" t="s">
        <v>1105</v>
      </c>
      <c r="G263" s="1" t="s">
        <v>1084</v>
      </c>
      <c r="H263">
        <v>51</v>
      </c>
      <c r="I263">
        <v>39236</v>
      </c>
      <c r="J263">
        <v>50214</v>
      </c>
      <c r="K263">
        <v>0</v>
      </c>
      <c r="L263" s="1" t="s">
        <v>1100</v>
      </c>
      <c r="M263" s="1" t="s">
        <v>1188</v>
      </c>
      <c r="N263" t="s">
        <v>1241</v>
      </c>
    </row>
    <row r="264" spans="1:14">
      <c r="A264" s="1" t="s">
        <v>1862</v>
      </c>
      <c r="B264" s="1" t="s">
        <v>1863</v>
      </c>
      <c r="C264" s="1" t="s">
        <v>1119</v>
      </c>
      <c r="D264" s="1" t="s">
        <v>1148</v>
      </c>
      <c r="E264" s="1" t="s">
        <v>1121</v>
      </c>
      <c r="F264" s="1" t="s">
        <v>1083</v>
      </c>
      <c r="G264" s="1" t="s">
        <v>1084</v>
      </c>
      <c r="H264">
        <v>31</v>
      </c>
      <c r="I264">
        <v>42309</v>
      </c>
      <c r="J264">
        <v>79713</v>
      </c>
      <c r="K264">
        <v>0</v>
      </c>
      <c r="L264" s="1" t="s">
        <v>1100</v>
      </c>
      <c r="M264" s="1" t="s">
        <v>1188</v>
      </c>
      <c r="N264" t="s">
        <v>1241</v>
      </c>
    </row>
    <row r="265" spans="1:14">
      <c r="A265" s="1" t="s">
        <v>1864</v>
      </c>
      <c r="B265" s="1" t="s">
        <v>1865</v>
      </c>
      <c r="C265" s="1" t="s">
        <v>1110</v>
      </c>
      <c r="D265" s="1" t="s">
        <v>1097</v>
      </c>
      <c r="E265" s="1" t="s">
        <v>1098</v>
      </c>
      <c r="F265" s="1" t="s">
        <v>1105</v>
      </c>
      <c r="G265" s="1" t="s">
        <v>1106</v>
      </c>
      <c r="H265">
        <v>52</v>
      </c>
      <c r="I265">
        <v>36411</v>
      </c>
      <c r="J265">
        <v>166699</v>
      </c>
      <c r="K265">
        <v>0.27</v>
      </c>
      <c r="L265" s="1" t="s">
        <v>1221</v>
      </c>
      <c r="M265" s="1" t="s">
        <v>1298</v>
      </c>
      <c r="N265" t="s">
        <v>1241</v>
      </c>
    </row>
    <row r="266" spans="1:14">
      <c r="A266" s="1" t="s">
        <v>1866</v>
      </c>
      <c r="B266" s="1" t="s">
        <v>1867</v>
      </c>
      <c r="C266" s="1" t="s">
        <v>1096</v>
      </c>
      <c r="D266" s="1" t="s">
        <v>1097</v>
      </c>
      <c r="E266" s="1" t="s">
        <v>1098</v>
      </c>
      <c r="F266" s="1" t="s">
        <v>1105</v>
      </c>
      <c r="G266" s="1" t="s">
        <v>1133</v>
      </c>
      <c r="H266">
        <v>63</v>
      </c>
      <c r="I266" t="s">
        <v>1868</v>
      </c>
      <c r="J266">
        <v>78788</v>
      </c>
      <c r="K266">
        <v>0</v>
      </c>
      <c r="L266" s="1" t="s">
        <v>1085</v>
      </c>
      <c r="M266" s="1" t="s">
        <v>1107</v>
      </c>
      <c r="N266" t="s">
        <v>1241</v>
      </c>
    </row>
    <row r="267" spans="1:14">
      <c r="A267" s="1" t="s">
        <v>1869</v>
      </c>
      <c r="B267" s="1" t="s">
        <v>1870</v>
      </c>
      <c r="C267" s="1" t="s">
        <v>1152</v>
      </c>
      <c r="D267" s="1" t="s">
        <v>1120</v>
      </c>
      <c r="E267" s="1" t="s">
        <v>1098</v>
      </c>
      <c r="F267" s="1" t="s">
        <v>1083</v>
      </c>
      <c r="G267" s="1" t="s">
        <v>1153</v>
      </c>
      <c r="H267">
        <v>28</v>
      </c>
      <c r="I267" t="s">
        <v>1871</v>
      </c>
      <c r="J267">
        <v>142797</v>
      </c>
      <c r="K267">
        <v>0.1</v>
      </c>
      <c r="L267" s="1" t="s">
        <v>1085</v>
      </c>
      <c r="M267" s="1" t="s">
        <v>1107</v>
      </c>
      <c r="N267" t="s">
        <v>1241</v>
      </c>
    </row>
    <row r="268" spans="1:14">
      <c r="A268" s="1" t="s">
        <v>1872</v>
      </c>
      <c r="B268" s="1" t="s">
        <v>1873</v>
      </c>
      <c r="C268" s="1" t="s">
        <v>1160</v>
      </c>
      <c r="D268" s="1" t="s">
        <v>1127</v>
      </c>
      <c r="E268" s="1" t="s">
        <v>1098</v>
      </c>
      <c r="F268" s="1" t="s">
        <v>1105</v>
      </c>
      <c r="G268" s="1" t="s">
        <v>1106</v>
      </c>
      <c r="H268">
        <v>39</v>
      </c>
      <c r="I268" t="s">
        <v>1874</v>
      </c>
      <c r="J268">
        <v>187516</v>
      </c>
      <c r="K268">
        <v>0.35</v>
      </c>
      <c r="L268" s="1" t="s">
        <v>1221</v>
      </c>
      <c r="M268" s="1" t="s">
        <v>1298</v>
      </c>
      <c r="N268" t="s">
        <v>1241</v>
      </c>
    </row>
    <row r="269" spans="1:14">
      <c r="A269" s="1" t="s">
        <v>1875</v>
      </c>
      <c r="B269" s="1" t="s">
        <v>1876</v>
      </c>
      <c r="C269" s="1" t="s">
        <v>1110</v>
      </c>
      <c r="D269" s="1" t="s">
        <v>1127</v>
      </c>
      <c r="E269" s="1" t="s">
        <v>1121</v>
      </c>
      <c r="F269" s="1" t="s">
        <v>1105</v>
      </c>
      <c r="G269" s="1" t="s">
        <v>1106</v>
      </c>
      <c r="H269">
        <v>36</v>
      </c>
      <c r="I269" t="s">
        <v>1877</v>
      </c>
      <c r="J269">
        <v>156029</v>
      </c>
      <c r="K269">
        <v>0.15</v>
      </c>
      <c r="L269" s="1" t="s">
        <v>1085</v>
      </c>
      <c r="M269" s="1" t="s">
        <v>1086</v>
      </c>
      <c r="N269" t="s">
        <v>1241</v>
      </c>
    </row>
    <row r="270" spans="1:14">
      <c r="A270" s="1" t="s">
        <v>1878</v>
      </c>
      <c r="B270" s="1" t="s">
        <v>1879</v>
      </c>
      <c r="C270" s="1" t="s">
        <v>1152</v>
      </c>
      <c r="D270" s="1" t="s">
        <v>1120</v>
      </c>
      <c r="E270" s="1" t="s">
        <v>1121</v>
      </c>
      <c r="F270" s="1" t="s">
        <v>1105</v>
      </c>
      <c r="G270" s="1" t="s">
        <v>1106</v>
      </c>
      <c r="H270">
        <v>63</v>
      </c>
      <c r="I270">
        <v>36161</v>
      </c>
      <c r="J270">
        <v>149582</v>
      </c>
      <c r="K270">
        <v>0.14000000000000001</v>
      </c>
      <c r="L270" s="1" t="s">
        <v>1085</v>
      </c>
      <c r="M270" s="1" t="s">
        <v>1107</v>
      </c>
      <c r="N270">
        <v>44258</v>
      </c>
    </row>
    <row r="271" spans="1:14">
      <c r="A271" s="1" t="s">
        <v>1880</v>
      </c>
      <c r="B271" s="1" t="s">
        <v>1881</v>
      </c>
      <c r="C271" s="1" t="s">
        <v>1110</v>
      </c>
      <c r="D271" s="1" t="s">
        <v>1148</v>
      </c>
      <c r="E271" s="1" t="s">
        <v>1091</v>
      </c>
      <c r="F271" s="1" t="s">
        <v>1105</v>
      </c>
      <c r="G271" s="1" t="s">
        <v>1084</v>
      </c>
      <c r="H271">
        <v>47</v>
      </c>
      <c r="I271" t="s">
        <v>1882</v>
      </c>
      <c r="J271">
        <v>163922</v>
      </c>
      <c r="K271">
        <v>0.21</v>
      </c>
      <c r="L271" s="1" t="s">
        <v>1085</v>
      </c>
      <c r="M271" s="1" t="s">
        <v>1116</v>
      </c>
      <c r="N271" t="s">
        <v>1241</v>
      </c>
    </row>
    <row r="272" spans="1:14">
      <c r="A272" s="1" t="s">
        <v>1883</v>
      </c>
      <c r="B272" s="1" t="s">
        <v>1884</v>
      </c>
      <c r="C272" s="1" t="s">
        <v>1160</v>
      </c>
      <c r="D272" s="1" t="s">
        <v>1120</v>
      </c>
      <c r="E272" s="1" t="s">
        <v>1098</v>
      </c>
      <c r="F272" s="1" t="s">
        <v>1105</v>
      </c>
      <c r="G272" s="1" t="s">
        <v>1084</v>
      </c>
      <c r="H272">
        <v>43</v>
      </c>
      <c r="I272" t="s">
        <v>1885</v>
      </c>
      <c r="J272">
        <v>240860</v>
      </c>
      <c r="K272">
        <v>0.37</v>
      </c>
      <c r="L272" s="1" t="s">
        <v>1085</v>
      </c>
      <c r="M272" s="1" t="s">
        <v>1093</v>
      </c>
      <c r="N272" t="s">
        <v>1241</v>
      </c>
    </row>
    <row r="273" spans="1:14">
      <c r="A273" s="1" t="s">
        <v>1886</v>
      </c>
      <c r="B273" s="1" t="s">
        <v>1887</v>
      </c>
      <c r="C273" s="1" t="s">
        <v>1136</v>
      </c>
      <c r="D273" s="1" t="s">
        <v>1208</v>
      </c>
      <c r="E273" s="1" t="s">
        <v>1121</v>
      </c>
      <c r="F273" s="1" t="s">
        <v>1105</v>
      </c>
      <c r="G273" s="1" t="s">
        <v>1084</v>
      </c>
      <c r="H273">
        <v>39</v>
      </c>
      <c r="I273" t="s">
        <v>1888</v>
      </c>
      <c r="J273">
        <v>128497</v>
      </c>
      <c r="K273">
        <v>7.0000000000000007E-2</v>
      </c>
      <c r="L273" s="1" t="s">
        <v>1100</v>
      </c>
      <c r="M273" s="1" t="s">
        <v>1129</v>
      </c>
      <c r="N273" t="s">
        <v>1241</v>
      </c>
    </row>
    <row r="274" spans="1:14">
      <c r="A274" s="1" t="s">
        <v>1889</v>
      </c>
      <c r="B274" s="1" t="s">
        <v>1890</v>
      </c>
      <c r="C274" s="1" t="s">
        <v>1318</v>
      </c>
      <c r="D274" s="1" t="s">
        <v>1081</v>
      </c>
      <c r="E274" s="1" t="s">
        <v>1091</v>
      </c>
      <c r="F274" s="1" t="s">
        <v>1083</v>
      </c>
      <c r="G274" s="1" t="s">
        <v>1084</v>
      </c>
      <c r="H274">
        <v>55</v>
      </c>
      <c r="I274">
        <v>42282</v>
      </c>
      <c r="J274">
        <v>121976</v>
      </c>
      <c r="K274">
        <v>0</v>
      </c>
      <c r="L274" s="1" t="s">
        <v>1100</v>
      </c>
      <c r="M274" s="1" t="s">
        <v>1123</v>
      </c>
      <c r="N274" t="s">
        <v>1241</v>
      </c>
    </row>
    <row r="275" spans="1:14">
      <c r="A275" s="1" t="s">
        <v>1891</v>
      </c>
      <c r="B275" s="1" t="s">
        <v>1892</v>
      </c>
      <c r="C275" s="1" t="s">
        <v>1152</v>
      </c>
      <c r="D275" s="1" t="s">
        <v>1090</v>
      </c>
      <c r="E275" s="1" t="s">
        <v>1091</v>
      </c>
      <c r="F275" s="1" t="s">
        <v>1105</v>
      </c>
      <c r="G275" s="1" t="s">
        <v>1084</v>
      </c>
      <c r="H275">
        <v>32</v>
      </c>
      <c r="I275">
        <v>44902</v>
      </c>
      <c r="J275">
        <v>126464</v>
      </c>
      <c r="K275">
        <v>0.15</v>
      </c>
      <c r="L275" s="1" t="s">
        <v>1085</v>
      </c>
      <c r="M275" s="1" t="s">
        <v>1137</v>
      </c>
      <c r="N275" t="s">
        <v>1241</v>
      </c>
    </row>
    <row r="276" spans="1:14">
      <c r="A276" s="1" t="s">
        <v>1893</v>
      </c>
      <c r="B276" s="1" t="s">
        <v>1894</v>
      </c>
      <c r="C276" s="1" t="s">
        <v>1160</v>
      </c>
      <c r="D276" s="1" t="s">
        <v>1120</v>
      </c>
      <c r="E276" s="1" t="s">
        <v>1082</v>
      </c>
      <c r="F276" s="1" t="s">
        <v>1105</v>
      </c>
      <c r="G276" s="1" t="s">
        <v>1084</v>
      </c>
      <c r="H276">
        <v>53</v>
      </c>
      <c r="I276">
        <v>38481</v>
      </c>
      <c r="J276">
        <v>234064</v>
      </c>
      <c r="K276">
        <v>0.33</v>
      </c>
      <c r="L276" s="1" t="s">
        <v>1100</v>
      </c>
      <c r="M276" s="1" t="s">
        <v>1129</v>
      </c>
      <c r="N276" t="s">
        <v>1241</v>
      </c>
    </row>
    <row r="277" spans="1:14">
      <c r="A277" s="1" t="s">
        <v>1895</v>
      </c>
      <c r="B277" s="1" t="s">
        <v>1896</v>
      </c>
      <c r="C277" s="1" t="s">
        <v>1119</v>
      </c>
      <c r="D277" s="1" t="s">
        <v>1127</v>
      </c>
      <c r="E277" s="1" t="s">
        <v>1082</v>
      </c>
      <c r="F277" s="1" t="s">
        <v>1083</v>
      </c>
      <c r="G277" s="1" t="s">
        <v>1084</v>
      </c>
      <c r="H277">
        <v>59</v>
      </c>
      <c r="I277" t="s">
        <v>1897</v>
      </c>
      <c r="J277">
        <v>81829</v>
      </c>
      <c r="K277">
        <v>0</v>
      </c>
      <c r="L277" s="1" t="s">
        <v>1100</v>
      </c>
      <c r="M277" s="1" t="s">
        <v>1123</v>
      </c>
      <c r="N277" t="s">
        <v>1241</v>
      </c>
    </row>
    <row r="278" spans="1:14">
      <c r="A278" s="1" t="s">
        <v>1898</v>
      </c>
      <c r="B278" s="1" t="s">
        <v>1899</v>
      </c>
      <c r="C278" s="1" t="s">
        <v>1110</v>
      </c>
      <c r="D278" s="1" t="s">
        <v>1208</v>
      </c>
      <c r="E278" s="1" t="s">
        <v>1091</v>
      </c>
      <c r="F278" s="1" t="s">
        <v>1105</v>
      </c>
      <c r="G278" s="1" t="s">
        <v>1084</v>
      </c>
      <c r="H278">
        <v>26</v>
      </c>
      <c r="I278" t="s">
        <v>1900</v>
      </c>
      <c r="J278">
        <v>193971</v>
      </c>
      <c r="K278">
        <v>0.22</v>
      </c>
      <c r="L278" s="1" t="s">
        <v>1085</v>
      </c>
      <c r="M278" s="1" t="s">
        <v>1093</v>
      </c>
      <c r="N278" t="s">
        <v>1241</v>
      </c>
    </row>
    <row r="279" spans="1:14">
      <c r="A279" s="1" t="s">
        <v>1901</v>
      </c>
      <c r="B279" s="1" t="s">
        <v>1902</v>
      </c>
      <c r="C279" s="1" t="s">
        <v>1213</v>
      </c>
      <c r="D279" s="1" t="s">
        <v>1208</v>
      </c>
      <c r="E279" s="1" t="s">
        <v>1091</v>
      </c>
      <c r="F279" s="1" t="s">
        <v>1083</v>
      </c>
      <c r="G279" s="1" t="s">
        <v>1084</v>
      </c>
      <c r="H279">
        <v>55</v>
      </c>
      <c r="I279" t="s">
        <v>1903</v>
      </c>
      <c r="J279">
        <v>47696</v>
      </c>
      <c r="K279">
        <v>0</v>
      </c>
      <c r="L279" s="1" t="s">
        <v>1085</v>
      </c>
      <c r="M279" s="1" t="s">
        <v>1107</v>
      </c>
      <c r="N279" t="s">
        <v>1241</v>
      </c>
    </row>
    <row r="280" spans="1:14">
      <c r="A280" s="1" t="s">
        <v>1904</v>
      </c>
      <c r="B280" s="1" t="s">
        <v>1905</v>
      </c>
      <c r="C280" s="1" t="s">
        <v>1136</v>
      </c>
      <c r="D280" s="1" t="s">
        <v>1120</v>
      </c>
      <c r="E280" s="1" t="s">
        <v>1121</v>
      </c>
      <c r="F280" s="1" t="s">
        <v>1083</v>
      </c>
      <c r="G280" s="1" t="s">
        <v>1084</v>
      </c>
      <c r="H280">
        <v>34</v>
      </c>
      <c r="I280" t="s">
        <v>1906</v>
      </c>
      <c r="J280">
        <v>116676</v>
      </c>
      <c r="K280">
        <v>0.1</v>
      </c>
      <c r="L280" s="1" t="s">
        <v>1100</v>
      </c>
      <c r="M280" s="1" t="s">
        <v>1129</v>
      </c>
      <c r="N280" t="s">
        <v>1241</v>
      </c>
    </row>
    <row r="281" spans="1:14">
      <c r="A281" s="1" t="s">
        <v>1907</v>
      </c>
      <c r="B281" s="1" t="s">
        <v>1908</v>
      </c>
      <c r="C281" s="1" t="s">
        <v>1136</v>
      </c>
      <c r="D281" s="1" t="s">
        <v>1148</v>
      </c>
      <c r="E281" s="1" t="s">
        <v>1091</v>
      </c>
      <c r="F281" s="1" t="s">
        <v>1083</v>
      </c>
      <c r="G281" s="1" t="s">
        <v>1133</v>
      </c>
      <c r="H281">
        <v>45</v>
      </c>
      <c r="I281">
        <v>41033</v>
      </c>
      <c r="J281">
        <v>104162</v>
      </c>
      <c r="K281">
        <v>0.09</v>
      </c>
      <c r="L281" s="1" t="s">
        <v>1085</v>
      </c>
      <c r="M281" s="1" t="s">
        <v>1112</v>
      </c>
      <c r="N281" t="s">
        <v>1241</v>
      </c>
    </row>
    <row r="282" spans="1:14">
      <c r="A282" s="1" t="s">
        <v>1909</v>
      </c>
      <c r="B282" s="1" t="s">
        <v>1910</v>
      </c>
      <c r="C282" s="1" t="s">
        <v>1364</v>
      </c>
      <c r="D282" s="1" t="s">
        <v>1208</v>
      </c>
      <c r="E282" s="1" t="s">
        <v>1121</v>
      </c>
      <c r="F282" s="1" t="s">
        <v>1083</v>
      </c>
      <c r="G282" s="1" t="s">
        <v>1084</v>
      </c>
      <c r="H282">
        <v>29</v>
      </c>
      <c r="I282" t="s">
        <v>1911</v>
      </c>
      <c r="J282">
        <v>86226</v>
      </c>
      <c r="K282">
        <v>0</v>
      </c>
      <c r="L282" s="1" t="s">
        <v>1085</v>
      </c>
      <c r="M282" s="1" t="s">
        <v>1107</v>
      </c>
      <c r="N282" t="s">
        <v>1241</v>
      </c>
    </row>
    <row r="283" spans="1:14">
      <c r="A283" s="1" t="s">
        <v>1912</v>
      </c>
      <c r="B283" s="1" t="s">
        <v>1913</v>
      </c>
      <c r="C283" s="1" t="s">
        <v>1110</v>
      </c>
      <c r="D283" s="1" t="s">
        <v>1148</v>
      </c>
      <c r="E283" s="1" t="s">
        <v>1121</v>
      </c>
      <c r="F283" s="1" t="s">
        <v>1105</v>
      </c>
      <c r="G283" s="1" t="s">
        <v>1106</v>
      </c>
      <c r="H283">
        <v>45</v>
      </c>
      <c r="I283" t="s">
        <v>1914</v>
      </c>
      <c r="J283">
        <v>172206</v>
      </c>
      <c r="K283">
        <v>0.28999999999999998</v>
      </c>
      <c r="L283" s="1" t="s">
        <v>1221</v>
      </c>
      <c r="M283" s="1" t="s">
        <v>1298</v>
      </c>
      <c r="N283" t="s">
        <v>1241</v>
      </c>
    </row>
    <row r="284" spans="1:14">
      <c r="A284" s="1" t="s">
        <v>1915</v>
      </c>
      <c r="B284" s="1" t="s">
        <v>1916</v>
      </c>
      <c r="C284" s="1" t="s">
        <v>1384</v>
      </c>
      <c r="D284" s="1" t="s">
        <v>1208</v>
      </c>
      <c r="E284" s="1" t="s">
        <v>1121</v>
      </c>
      <c r="F284" s="1" t="s">
        <v>1083</v>
      </c>
      <c r="G284" s="1" t="s">
        <v>1106</v>
      </c>
      <c r="H284">
        <v>34</v>
      </c>
      <c r="I284">
        <v>41064</v>
      </c>
      <c r="J284">
        <v>55985</v>
      </c>
      <c r="K284">
        <v>0</v>
      </c>
      <c r="L284" s="1" t="s">
        <v>1085</v>
      </c>
      <c r="M284" s="1" t="s">
        <v>1107</v>
      </c>
      <c r="N284" t="s">
        <v>1241</v>
      </c>
    </row>
    <row r="285" spans="1:14">
      <c r="A285" s="1" t="s">
        <v>1917</v>
      </c>
      <c r="B285" s="1" t="s">
        <v>1918</v>
      </c>
      <c r="C285" s="1" t="s">
        <v>1173</v>
      </c>
      <c r="D285" s="1" t="s">
        <v>1097</v>
      </c>
      <c r="E285" s="1" t="s">
        <v>1091</v>
      </c>
      <c r="F285" s="1" t="s">
        <v>1083</v>
      </c>
      <c r="G285" s="1" t="s">
        <v>1106</v>
      </c>
      <c r="H285">
        <v>26</v>
      </c>
      <c r="I285">
        <v>44353</v>
      </c>
      <c r="J285">
        <v>61481</v>
      </c>
      <c r="K285">
        <v>0</v>
      </c>
      <c r="L285" s="1" t="s">
        <v>1085</v>
      </c>
      <c r="M285" s="1" t="s">
        <v>1137</v>
      </c>
      <c r="N285" t="s">
        <v>1241</v>
      </c>
    </row>
    <row r="286" spans="1:14">
      <c r="A286" s="1" t="s">
        <v>1919</v>
      </c>
      <c r="B286" s="1" t="s">
        <v>1920</v>
      </c>
      <c r="C286" s="1" t="s">
        <v>1136</v>
      </c>
      <c r="D286" s="1" t="s">
        <v>1090</v>
      </c>
      <c r="E286" s="1" t="s">
        <v>1098</v>
      </c>
      <c r="F286" s="1" t="s">
        <v>1105</v>
      </c>
      <c r="G286" s="1" t="s">
        <v>1106</v>
      </c>
      <c r="H286">
        <v>30</v>
      </c>
      <c r="I286" t="s">
        <v>1921</v>
      </c>
      <c r="J286">
        <v>124295</v>
      </c>
      <c r="K286">
        <v>7.0000000000000007E-2</v>
      </c>
      <c r="L286" s="1" t="s">
        <v>1221</v>
      </c>
      <c r="M286" s="1" t="s">
        <v>1443</v>
      </c>
      <c r="N286" t="s">
        <v>1241</v>
      </c>
    </row>
    <row r="287" spans="1:14">
      <c r="A287" s="1" t="s">
        <v>1922</v>
      </c>
      <c r="B287" s="1" t="s">
        <v>1923</v>
      </c>
      <c r="C287" s="1" t="s">
        <v>1152</v>
      </c>
      <c r="D287" s="1" t="s">
        <v>1090</v>
      </c>
      <c r="E287" s="1" t="s">
        <v>1098</v>
      </c>
      <c r="F287" s="1" t="s">
        <v>1105</v>
      </c>
      <c r="G287" s="1" t="s">
        <v>1084</v>
      </c>
      <c r="H287">
        <v>55</v>
      </c>
      <c r="I287">
        <v>36374</v>
      </c>
      <c r="J287">
        <v>132894</v>
      </c>
      <c r="K287">
        <v>0.15</v>
      </c>
      <c r="L287" s="1" t="s">
        <v>1085</v>
      </c>
      <c r="M287" s="1" t="s">
        <v>1093</v>
      </c>
      <c r="N287" t="s">
        <v>1241</v>
      </c>
    </row>
    <row r="288" spans="1:14">
      <c r="A288" s="1" t="s">
        <v>1924</v>
      </c>
      <c r="B288" s="1" t="s">
        <v>1925</v>
      </c>
      <c r="C288" s="1" t="s">
        <v>1294</v>
      </c>
      <c r="D288" s="1" t="s">
        <v>1097</v>
      </c>
      <c r="E288" s="1" t="s">
        <v>1091</v>
      </c>
      <c r="F288" s="1" t="s">
        <v>1083</v>
      </c>
      <c r="G288" s="1" t="s">
        <v>1084</v>
      </c>
      <c r="H288">
        <v>47</v>
      </c>
      <c r="I288" t="s">
        <v>1926</v>
      </c>
      <c r="J288">
        <v>88839</v>
      </c>
      <c r="K288">
        <v>0.05</v>
      </c>
      <c r="L288" s="1" t="s">
        <v>1085</v>
      </c>
      <c r="M288" s="1" t="s">
        <v>1116</v>
      </c>
      <c r="N288" t="s">
        <v>1853</v>
      </c>
    </row>
    <row r="289" spans="1:14">
      <c r="A289" s="1" t="s">
        <v>1927</v>
      </c>
      <c r="B289" s="1" t="s">
        <v>1928</v>
      </c>
      <c r="C289" s="1" t="s">
        <v>1318</v>
      </c>
      <c r="D289" s="1" t="s">
        <v>1081</v>
      </c>
      <c r="E289" s="1" t="s">
        <v>1082</v>
      </c>
      <c r="F289" s="1" t="s">
        <v>1083</v>
      </c>
      <c r="G289" s="1" t="s">
        <v>1106</v>
      </c>
      <c r="H289">
        <v>51</v>
      </c>
      <c r="I289" t="s">
        <v>1929</v>
      </c>
      <c r="J289">
        <v>78107</v>
      </c>
      <c r="K289">
        <v>0</v>
      </c>
      <c r="L289" s="1" t="s">
        <v>1221</v>
      </c>
      <c r="M289" s="1" t="s">
        <v>1443</v>
      </c>
      <c r="N289" t="s">
        <v>1241</v>
      </c>
    </row>
    <row r="290" spans="1:14">
      <c r="A290" s="1" t="s">
        <v>1930</v>
      </c>
      <c r="B290" s="1" t="s">
        <v>1931</v>
      </c>
      <c r="C290" s="1" t="s">
        <v>1152</v>
      </c>
      <c r="D290" s="1" t="s">
        <v>1097</v>
      </c>
      <c r="E290" s="1" t="s">
        <v>1091</v>
      </c>
      <c r="F290" s="1" t="s">
        <v>1105</v>
      </c>
      <c r="G290" s="1" t="s">
        <v>1084</v>
      </c>
      <c r="H290">
        <v>54</v>
      </c>
      <c r="I290">
        <v>34249</v>
      </c>
      <c r="J290">
        <v>135642</v>
      </c>
      <c r="K290">
        <v>0.1</v>
      </c>
      <c r="L290" s="1" t="s">
        <v>1100</v>
      </c>
      <c r="M290" s="1" t="s">
        <v>1188</v>
      </c>
      <c r="N290" t="s">
        <v>1241</v>
      </c>
    </row>
    <row r="291" spans="1:14">
      <c r="A291" s="1" t="s">
        <v>1932</v>
      </c>
      <c r="B291" s="1" t="s">
        <v>1933</v>
      </c>
      <c r="C291" s="1" t="s">
        <v>1152</v>
      </c>
      <c r="D291" s="1" t="s">
        <v>1090</v>
      </c>
      <c r="E291" s="1" t="s">
        <v>1091</v>
      </c>
      <c r="F291" s="1" t="s">
        <v>1105</v>
      </c>
      <c r="G291" s="1" t="s">
        <v>1084</v>
      </c>
      <c r="H291">
        <v>64</v>
      </c>
      <c r="I291">
        <v>35704</v>
      </c>
      <c r="J291">
        <v>147853</v>
      </c>
      <c r="K291">
        <v>0.11</v>
      </c>
      <c r="L291" s="1" t="s">
        <v>1085</v>
      </c>
      <c r="M291" s="1" t="s">
        <v>1112</v>
      </c>
      <c r="N291" t="s">
        <v>1241</v>
      </c>
    </row>
    <row r="292" spans="1:14">
      <c r="A292" s="1" t="s">
        <v>1934</v>
      </c>
      <c r="B292" s="1" t="s">
        <v>1935</v>
      </c>
      <c r="C292" s="1" t="s">
        <v>1136</v>
      </c>
      <c r="D292" s="1" t="s">
        <v>1097</v>
      </c>
      <c r="E292" s="1" t="s">
        <v>1082</v>
      </c>
      <c r="F292" s="1" t="s">
        <v>1105</v>
      </c>
      <c r="G292" s="1" t="s">
        <v>1106</v>
      </c>
      <c r="H292">
        <v>40</v>
      </c>
      <c r="I292" t="s">
        <v>1936</v>
      </c>
      <c r="J292">
        <v>125900</v>
      </c>
      <c r="K292">
        <v>7.0000000000000007E-2</v>
      </c>
      <c r="L292" s="1" t="s">
        <v>1085</v>
      </c>
      <c r="M292" s="1" t="s">
        <v>1107</v>
      </c>
      <c r="N292" t="s">
        <v>1937</v>
      </c>
    </row>
    <row r="293" spans="1:14">
      <c r="A293" s="1" t="s">
        <v>1938</v>
      </c>
      <c r="B293" s="1" t="s">
        <v>1939</v>
      </c>
      <c r="C293" s="1" t="s">
        <v>1269</v>
      </c>
      <c r="D293" s="1" t="s">
        <v>1097</v>
      </c>
      <c r="E293" s="1" t="s">
        <v>1082</v>
      </c>
      <c r="F293" s="1" t="s">
        <v>1083</v>
      </c>
      <c r="G293" s="1" t="s">
        <v>1106</v>
      </c>
      <c r="H293">
        <v>27</v>
      </c>
      <c r="I293">
        <v>44106</v>
      </c>
      <c r="J293">
        <v>42969</v>
      </c>
      <c r="K293">
        <v>0</v>
      </c>
      <c r="L293" s="1" t="s">
        <v>1085</v>
      </c>
      <c r="M293" s="1" t="s">
        <v>1116</v>
      </c>
      <c r="N293" t="s">
        <v>1241</v>
      </c>
    </row>
    <row r="294" spans="1:14">
      <c r="A294" s="1" t="s">
        <v>1940</v>
      </c>
      <c r="B294" s="1" t="s">
        <v>1941</v>
      </c>
      <c r="C294" s="1" t="s">
        <v>1160</v>
      </c>
      <c r="D294" s="1" t="s">
        <v>1148</v>
      </c>
      <c r="E294" s="1" t="s">
        <v>1082</v>
      </c>
      <c r="F294" s="1" t="s">
        <v>1083</v>
      </c>
      <c r="G294" s="1" t="s">
        <v>1133</v>
      </c>
      <c r="H294">
        <v>47</v>
      </c>
      <c r="I294" t="s">
        <v>1942</v>
      </c>
      <c r="J294">
        <v>214303</v>
      </c>
      <c r="K294">
        <v>0.4</v>
      </c>
      <c r="L294" s="1" t="s">
        <v>1085</v>
      </c>
      <c r="M294" s="1" t="s">
        <v>1107</v>
      </c>
      <c r="N294" t="s">
        <v>1241</v>
      </c>
    </row>
    <row r="295" spans="1:14">
      <c r="A295" s="1" t="s">
        <v>1943</v>
      </c>
      <c r="B295" s="1" t="s">
        <v>1944</v>
      </c>
      <c r="C295" s="1" t="s">
        <v>1160</v>
      </c>
      <c r="D295" s="1" t="s">
        <v>1120</v>
      </c>
      <c r="E295" s="1" t="s">
        <v>1121</v>
      </c>
      <c r="F295" s="1" t="s">
        <v>1105</v>
      </c>
      <c r="G295" s="1" t="s">
        <v>1084</v>
      </c>
      <c r="H295">
        <v>28</v>
      </c>
      <c r="I295" t="s">
        <v>1945</v>
      </c>
      <c r="J295">
        <v>199406</v>
      </c>
      <c r="K295">
        <v>0.38</v>
      </c>
      <c r="L295" s="1" t="s">
        <v>1100</v>
      </c>
      <c r="M295" s="1" t="s">
        <v>1129</v>
      </c>
      <c r="N295" t="s">
        <v>1241</v>
      </c>
    </row>
    <row r="296" spans="1:14">
      <c r="A296" s="1" t="s">
        <v>1946</v>
      </c>
      <c r="B296" s="1" t="s">
        <v>1947</v>
      </c>
      <c r="C296" s="1" t="s">
        <v>1160</v>
      </c>
      <c r="D296" s="1" t="s">
        <v>1208</v>
      </c>
      <c r="E296" s="1" t="s">
        <v>1098</v>
      </c>
      <c r="F296" s="1" t="s">
        <v>1105</v>
      </c>
      <c r="G296" s="1" t="s">
        <v>1084</v>
      </c>
      <c r="H296">
        <v>35</v>
      </c>
      <c r="I296" t="s">
        <v>1948</v>
      </c>
      <c r="J296">
        <v>182436</v>
      </c>
      <c r="K296">
        <v>0.37</v>
      </c>
      <c r="L296" s="1" t="s">
        <v>1085</v>
      </c>
      <c r="M296" s="1" t="s">
        <v>1112</v>
      </c>
      <c r="N296" t="s">
        <v>1241</v>
      </c>
    </row>
    <row r="297" spans="1:14">
      <c r="A297" s="1" t="s">
        <v>1949</v>
      </c>
      <c r="B297" s="1" t="s">
        <v>1950</v>
      </c>
      <c r="C297" s="1" t="s">
        <v>1294</v>
      </c>
      <c r="D297" s="1" t="s">
        <v>1097</v>
      </c>
      <c r="E297" s="1" t="s">
        <v>1091</v>
      </c>
      <c r="F297" s="1" t="s">
        <v>1105</v>
      </c>
      <c r="G297" s="1" t="s">
        <v>1106</v>
      </c>
      <c r="H297">
        <v>59</v>
      </c>
      <c r="I297">
        <v>35074</v>
      </c>
      <c r="J297">
        <v>96507</v>
      </c>
      <c r="K297">
        <v>0.09</v>
      </c>
      <c r="L297" s="1" t="s">
        <v>1085</v>
      </c>
      <c r="M297" s="1" t="s">
        <v>1107</v>
      </c>
      <c r="N297" t="s">
        <v>1241</v>
      </c>
    </row>
    <row r="298" spans="1:14">
      <c r="A298" s="1" t="s">
        <v>1951</v>
      </c>
      <c r="B298" s="1" t="s">
        <v>1952</v>
      </c>
      <c r="C298" s="1" t="s">
        <v>1446</v>
      </c>
      <c r="D298" s="1" t="s">
        <v>1081</v>
      </c>
      <c r="E298" s="1" t="s">
        <v>1082</v>
      </c>
      <c r="F298" s="1" t="s">
        <v>1083</v>
      </c>
      <c r="G298" s="1" t="s">
        <v>1084</v>
      </c>
      <c r="H298">
        <v>33</v>
      </c>
      <c r="I298" t="s">
        <v>1953</v>
      </c>
      <c r="J298">
        <v>82906</v>
      </c>
      <c r="K298">
        <v>0</v>
      </c>
      <c r="L298" s="1" t="s">
        <v>1100</v>
      </c>
      <c r="M298" s="1" t="s">
        <v>1129</v>
      </c>
      <c r="N298">
        <v>42684</v>
      </c>
    </row>
    <row r="299" spans="1:14">
      <c r="A299" s="1" t="s">
        <v>1954</v>
      </c>
      <c r="B299" s="1" t="s">
        <v>1955</v>
      </c>
      <c r="C299" s="1" t="s">
        <v>1213</v>
      </c>
      <c r="D299" s="1" t="s">
        <v>1208</v>
      </c>
      <c r="E299" s="1" t="s">
        <v>1082</v>
      </c>
      <c r="F299" s="1" t="s">
        <v>1105</v>
      </c>
      <c r="G299" s="1" t="s">
        <v>1084</v>
      </c>
      <c r="H299">
        <v>62</v>
      </c>
      <c r="I299">
        <v>38484</v>
      </c>
      <c r="J299">
        <v>41616</v>
      </c>
      <c r="K299">
        <v>0</v>
      </c>
      <c r="L299" s="1" t="s">
        <v>1085</v>
      </c>
      <c r="M299" s="1" t="s">
        <v>1107</v>
      </c>
      <c r="N299" t="s">
        <v>1241</v>
      </c>
    </row>
    <row r="300" spans="1:14">
      <c r="A300" s="1" t="s">
        <v>1956</v>
      </c>
      <c r="B300" s="1" t="s">
        <v>1957</v>
      </c>
      <c r="C300" s="1" t="s">
        <v>1528</v>
      </c>
      <c r="D300" s="1" t="s">
        <v>1097</v>
      </c>
      <c r="E300" s="1" t="s">
        <v>1091</v>
      </c>
      <c r="F300" s="1" t="s">
        <v>1105</v>
      </c>
      <c r="G300" s="1" t="s">
        <v>1133</v>
      </c>
      <c r="H300">
        <v>50</v>
      </c>
      <c r="I300" t="s">
        <v>1958</v>
      </c>
      <c r="J300">
        <v>92344</v>
      </c>
      <c r="K300">
        <v>0</v>
      </c>
      <c r="L300" s="1" t="s">
        <v>1085</v>
      </c>
      <c r="M300" s="1" t="s">
        <v>1116</v>
      </c>
      <c r="N300" t="s">
        <v>1959</v>
      </c>
    </row>
    <row r="301" spans="1:14">
      <c r="A301" s="1" t="s">
        <v>1960</v>
      </c>
      <c r="B301" s="1" t="s">
        <v>1961</v>
      </c>
      <c r="C301" s="1" t="s">
        <v>1160</v>
      </c>
      <c r="D301" s="1" t="s">
        <v>1120</v>
      </c>
      <c r="E301" s="1" t="s">
        <v>1082</v>
      </c>
      <c r="F301" s="1" t="s">
        <v>1105</v>
      </c>
      <c r="G301" s="1" t="s">
        <v>1084</v>
      </c>
      <c r="H301">
        <v>55</v>
      </c>
      <c r="I301" t="s">
        <v>1962</v>
      </c>
      <c r="J301">
        <v>196614</v>
      </c>
      <c r="K301">
        <v>0.37</v>
      </c>
      <c r="L301" s="1" t="s">
        <v>1085</v>
      </c>
      <c r="M301" s="1" t="s">
        <v>1093</v>
      </c>
      <c r="N301" t="s">
        <v>1241</v>
      </c>
    </row>
    <row r="302" spans="1:14">
      <c r="A302" s="1" t="s">
        <v>1963</v>
      </c>
      <c r="B302" s="1" t="s">
        <v>1964</v>
      </c>
      <c r="C302" s="1" t="s">
        <v>1136</v>
      </c>
      <c r="D302" s="1" t="s">
        <v>1097</v>
      </c>
      <c r="E302" s="1" t="s">
        <v>1098</v>
      </c>
      <c r="F302" s="1" t="s">
        <v>1105</v>
      </c>
      <c r="G302" s="1" t="s">
        <v>1106</v>
      </c>
      <c r="H302">
        <v>47</v>
      </c>
      <c r="I302">
        <v>44714</v>
      </c>
      <c r="J302">
        <v>104253</v>
      </c>
      <c r="K302">
        <v>0.09</v>
      </c>
      <c r="L302" s="1" t="s">
        <v>1085</v>
      </c>
      <c r="M302" s="1" t="s">
        <v>1107</v>
      </c>
      <c r="N302" t="s">
        <v>1241</v>
      </c>
    </row>
    <row r="303" spans="1:14">
      <c r="A303" s="1" t="s">
        <v>1965</v>
      </c>
      <c r="B303" s="1" t="s">
        <v>1966</v>
      </c>
      <c r="C303" s="1" t="s">
        <v>1269</v>
      </c>
      <c r="D303" s="1" t="s">
        <v>1097</v>
      </c>
      <c r="E303" s="1" t="s">
        <v>1121</v>
      </c>
      <c r="F303" s="1" t="s">
        <v>1105</v>
      </c>
      <c r="G303" s="1" t="s">
        <v>1084</v>
      </c>
      <c r="H303">
        <v>34</v>
      </c>
      <c r="I303" t="s">
        <v>1967</v>
      </c>
      <c r="J303">
        <v>44677</v>
      </c>
      <c r="K303">
        <v>0</v>
      </c>
      <c r="L303" s="1" t="s">
        <v>1100</v>
      </c>
      <c r="M303" s="1" t="s">
        <v>1123</v>
      </c>
      <c r="N303" t="s">
        <v>1241</v>
      </c>
    </row>
    <row r="304" spans="1:14">
      <c r="A304" s="1" t="s">
        <v>1968</v>
      </c>
      <c r="B304" s="1" t="s">
        <v>1969</v>
      </c>
      <c r="C304" s="1" t="s">
        <v>1528</v>
      </c>
      <c r="D304" s="1" t="s">
        <v>1097</v>
      </c>
      <c r="E304" s="1" t="s">
        <v>1098</v>
      </c>
      <c r="F304" s="1" t="s">
        <v>1105</v>
      </c>
      <c r="G304" s="1" t="s">
        <v>1084</v>
      </c>
      <c r="H304">
        <v>39</v>
      </c>
      <c r="I304" t="s">
        <v>1970</v>
      </c>
      <c r="J304">
        <v>66463</v>
      </c>
      <c r="K304">
        <v>0</v>
      </c>
      <c r="L304" s="1" t="s">
        <v>1100</v>
      </c>
      <c r="M304" s="1" t="s">
        <v>1123</v>
      </c>
      <c r="N304" t="s">
        <v>1241</v>
      </c>
    </row>
    <row r="305" spans="1:14">
      <c r="A305" s="1" t="s">
        <v>1971</v>
      </c>
      <c r="B305" s="1" t="s">
        <v>1972</v>
      </c>
      <c r="C305" s="1" t="s">
        <v>1213</v>
      </c>
      <c r="D305" s="1" t="s">
        <v>1208</v>
      </c>
      <c r="E305" s="1" t="s">
        <v>1091</v>
      </c>
      <c r="F305" s="1" t="s">
        <v>1105</v>
      </c>
      <c r="G305" s="1" t="s">
        <v>1106</v>
      </c>
      <c r="H305">
        <v>35</v>
      </c>
      <c r="I305" t="s">
        <v>1973</v>
      </c>
      <c r="J305">
        <v>53285</v>
      </c>
      <c r="K305">
        <v>0</v>
      </c>
      <c r="L305" s="1" t="s">
        <v>1085</v>
      </c>
      <c r="M305" s="1" t="s">
        <v>1086</v>
      </c>
      <c r="N305" t="s">
        <v>1241</v>
      </c>
    </row>
    <row r="306" spans="1:14">
      <c r="A306" s="1" t="s">
        <v>1974</v>
      </c>
      <c r="B306" s="1" t="s">
        <v>1975</v>
      </c>
      <c r="C306" s="1" t="s">
        <v>1594</v>
      </c>
      <c r="D306" s="1" t="s">
        <v>1081</v>
      </c>
      <c r="E306" s="1" t="s">
        <v>1098</v>
      </c>
      <c r="F306" s="1" t="s">
        <v>1083</v>
      </c>
      <c r="G306" s="1" t="s">
        <v>1084</v>
      </c>
      <c r="H306">
        <v>54</v>
      </c>
      <c r="I306" t="s">
        <v>1976</v>
      </c>
      <c r="J306">
        <v>67683</v>
      </c>
      <c r="K306">
        <v>0</v>
      </c>
      <c r="L306" s="1" t="s">
        <v>1100</v>
      </c>
      <c r="M306" s="1" t="s">
        <v>1188</v>
      </c>
      <c r="N306" t="s">
        <v>1241</v>
      </c>
    </row>
    <row r="307" spans="1:14">
      <c r="A307" s="1" t="s">
        <v>1977</v>
      </c>
      <c r="B307" s="1" t="s">
        <v>1978</v>
      </c>
      <c r="C307" s="1" t="s">
        <v>1160</v>
      </c>
      <c r="D307" s="1" t="s">
        <v>1127</v>
      </c>
      <c r="E307" s="1" t="s">
        <v>1082</v>
      </c>
      <c r="F307" s="1" t="s">
        <v>1105</v>
      </c>
      <c r="G307" s="1" t="s">
        <v>1084</v>
      </c>
      <c r="H307">
        <v>41</v>
      </c>
      <c r="I307" t="s">
        <v>1979</v>
      </c>
      <c r="J307">
        <v>238155</v>
      </c>
      <c r="K307">
        <v>0.38</v>
      </c>
      <c r="L307" s="1" t="s">
        <v>1100</v>
      </c>
      <c r="M307" s="1" t="s">
        <v>1101</v>
      </c>
      <c r="N307" t="s">
        <v>1241</v>
      </c>
    </row>
    <row r="308" spans="1:14">
      <c r="A308" s="1" t="s">
        <v>1980</v>
      </c>
      <c r="B308" s="1" t="s">
        <v>1981</v>
      </c>
      <c r="C308" s="1" t="s">
        <v>1110</v>
      </c>
      <c r="D308" s="1" t="s">
        <v>1090</v>
      </c>
      <c r="E308" s="1" t="s">
        <v>1091</v>
      </c>
      <c r="F308" s="1" t="s">
        <v>1083</v>
      </c>
      <c r="G308" s="1" t="s">
        <v>1084</v>
      </c>
      <c r="H308">
        <v>37</v>
      </c>
      <c r="I308" t="s">
        <v>1982</v>
      </c>
      <c r="J308">
        <v>173630</v>
      </c>
      <c r="K308">
        <v>0.24</v>
      </c>
      <c r="L308" s="1" t="s">
        <v>1100</v>
      </c>
      <c r="M308" s="1" t="s">
        <v>1123</v>
      </c>
      <c r="N308" t="s">
        <v>1241</v>
      </c>
    </row>
    <row r="309" spans="1:14">
      <c r="A309" s="1" t="s">
        <v>1983</v>
      </c>
      <c r="B309" s="1" t="s">
        <v>1984</v>
      </c>
      <c r="C309" s="1" t="s">
        <v>1119</v>
      </c>
      <c r="D309" s="1" t="s">
        <v>1127</v>
      </c>
      <c r="E309" s="1" t="s">
        <v>1098</v>
      </c>
      <c r="F309" s="1" t="s">
        <v>1105</v>
      </c>
      <c r="G309" s="1" t="s">
        <v>1153</v>
      </c>
      <c r="H309">
        <v>29</v>
      </c>
      <c r="I309" t="s">
        <v>1985</v>
      </c>
      <c r="J309">
        <v>98992</v>
      </c>
      <c r="K309">
        <v>0</v>
      </c>
      <c r="L309" s="1" t="s">
        <v>1085</v>
      </c>
      <c r="M309" s="1" t="s">
        <v>1137</v>
      </c>
      <c r="N309" t="s">
        <v>1241</v>
      </c>
    </row>
    <row r="310" spans="1:14">
      <c r="A310" s="1" t="s">
        <v>1986</v>
      </c>
      <c r="B310" s="1" t="s">
        <v>1987</v>
      </c>
      <c r="C310" s="1" t="s">
        <v>1160</v>
      </c>
      <c r="D310" s="1" t="s">
        <v>1097</v>
      </c>
      <c r="E310" s="1" t="s">
        <v>1091</v>
      </c>
      <c r="F310" s="1" t="s">
        <v>1105</v>
      </c>
      <c r="G310" s="1" t="s">
        <v>1084</v>
      </c>
      <c r="H310">
        <v>64</v>
      </c>
      <c r="I310">
        <v>43043</v>
      </c>
      <c r="J310">
        <v>253330</v>
      </c>
      <c r="K310">
        <v>0.39</v>
      </c>
      <c r="L310" s="1" t="s">
        <v>1085</v>
      </c>
      <c r="M310" s="1" t="s">
        <v>1112</v>
      </c>
      <c r="N310" t="s">
        <v>1241</v>
      </c>
    </row>
    <row r="311" spans="1:14">
      <c r="A311" s="1" t="s">
        <v>1988</v>
      </c>
      <c r="B311" s="1" t="s">
        <v>1989</v>
      </c>
      <c r="C311" s="1" t="s">
        <v>1152</v>
      </c>
      <c r="D311" s="1" t="s">
        <v>1090</v>
      </c>
      <c r="E311" s="1" t="s">
        <v>1091</v>
      </c>
      <c r="F311" s="1" t="s">
        <v>1105</v>
      </c>
      <c r="G311" s="1" t="s">
        <v>1133</v>
      </c>
      <c r="H311">
        <v>54</v>
      </c>
      <c r="I311" t="s">
        <v>1990</v>
      </c>
      <c r="J311">
        <v>158403</v>
      </c>
      <c r="K311">
        <v>0.14000000000000001</v>
      </c>
      <c r="L311" s="1" t="s">
        <v>1085</v>
      </c>
      <c r="M311" s="1" t="s">
        <v>1107</v>
      </c>
      <c r="N311">
        <v>43504</v>
      </c>
    </row>
    <row r="312" spans="1:14">
      <c r="A312" s="1" t="s">
        <v>1991</v>
      </c>
      <c r="B312" s="1" t="s">
        <v>1992</v>
      </c>
      <c r="C312" s="1" t="s">
        <v>1152</v>
      </c>
      <c r="D312" s="1" t="s">
        <v>1120</v>
      </c>
      <c r="E312" s="1" t="s">
        <v>1091</v>
      </c>
      <c r="F312" s="1" t="s">
        <v>1083</v>
      </c>
      <c r="G312" s="1" t="s">
        <v>1133</v>
      </c>
      <c r="H312">
        <v>36</v>
      </c>
      <c r="I312" t="s">
        <v>1993</v>
      </c>
      <c r="J312">
        <v>156085</v>
      </c>
      <c r="K312">
        <v>0.12</v>
      </c>
      <c r="L312" s="1" t="s">
        <v>1085</v>
      </c>
      <c r="M312" s="1" t="s">
        <v>1137</v>
      </c>
      <c r="N312" t="s">
        <v>1241</v>
      </c>
    </row>
    <row r="313" spans="1:14">
      <c r="A313" s="1" t="s">
        <v>1994</v>
      </c>
      <c r="B313" s="1" t="s">
        <v>1995</v>
      </c>
      <c r="C313" s="1" t="s">
        <v>1285</v>
      </c>
      <c r="D313" s="1" t="s">
        <v>1097</v>
      </c>
      <c r="E313" s="1" t="s">
        <v>1121</v>
      </c>
      <c r="F313" s="1" t="s">
        <v>1105</v>
      </c>
      <c r="G313" s="1" t="s">
        <v>1153</v>
      </c>
      <c r="H313">
        <v>54</v>
      </c>
      <c r="I313" t="s">
        <v>1996</v>
      </c>
      <c r="J313">
        <v>80129</v>
      </c>
      <c r="K313">
        <v>0</v>
      </c>
      <c r="L313" s="1" t="s">
        <v>1085</v>
      </c>
      <c r="M313" s="1" t="s">
        <v>1137</v>
      </c>
      <c r="N313" t="s">
        <v>1241</v>
      </c>
    </row>
    <row r="314" spans="1:14">
      <c r="A314" s="1" t="s">
        <v>1997</v>
      </c>
      <c r="B314" s="1" t="s">
        <v>1998</v>
      </c>
      <c r="C314" s="1" t="s">
        <v>1177</v>
      </c>
      <c r="D314" s="1" t="s">
        <v>1090</v>
      </c>
      <c r="E314" s="1" t="s">
        <v>1098</v>
      </c>
      <c r="F314" s="1" t="s">
        <v>1105</v>
      </c>
      <c r="G314" s="1" t="s">
        <v>1133</v>
      </c>
      <c r="H314">
        <v>56</v>
      </c>
      <c r="I314">
        <v>42979</v>
      </c>
      <c r="J314">
        <v>60517</v>
      </c>
      <c r="K314">
        <v>0</v>
      </c>
      <c r="L314" s="1" t="s">
        <v>1085</v>
      </c>
      <c r="M314" s="1" t="s">
        <v>1086</v>
      </c>
      <c r="N314" t="s">
        <v>1241</v>
      </c>
    </row>
    <row r="315" spans="1:14">
      <c r="A315" s="1" t="s">
        <v>1999</v>
      </c>
      <c r="B315" s="1" t="s">
        <v>2000</v>
      </c>
      <c r="C315" s="1" t="s">
        <v>1216</v>
      </c>
      <c r="D315" s="1" t="s">
        <v>1081</v>
      </c>
      <c r="E315" s="1" t="s">
        <v>1098</v>
      </c>
      <c r="F315" s="1" t="s">
        <v>1083</v>
      </c>
      <c r="G315" s="1" t="s">
        <v>1133</v>
      </c>
      <c r="H315">
        <v>48</v>
      </c>
      <c r="I315" t="s">
        <v>2001</v>
      </c>
      <c r="J315">
        <v>72315</v>
      </c>
      <c r="K315">
        <v>0</v>
      </c>
      <c r="L315" s="1" t="s">
        <v>1085</v>
      </c>
      <c r="M315" s="1" t="s">
        <v>1112</v>
      </c>
      <c r="N315" t="s">
        <v>2002</v>
      </c>
    </row>
    <row r="316" spans="1:14">
      <c r="A316" s="1" t="s">
        <v>2003</v>
      </c>
      <c r="B316" s="1" t="s">
        <v>2004</v>
      </c>
      <c r="C316" s="1" t="s">
        <v>1110</v>
      </c>
      <c r="D316" s="1" t="s">
        <v>1208</v>
      </c>
      <c r="E316" s="1" t="s">
        <v>1082</v>
      </c>
      <c r="F316" s="1" t="s">
        <v>1083</v>
      </c>
      <c r="G316" s="1" t="s">
        <v>1084</v>
      </c>
      <c r="H316">
        <v>35</v>
      </c>
      <c r="I316">
        <v>42315</v>
      </c>
      <c r="J316">
        <v>153815</v>
      </c>
      <c r="K316">
        <v>0.19</v>
      </c>
      <c r="L316" s="1" t="s">
        <v>1085</v>
      </c>
      <c r="M316" s="1" t="s">
        <v>1137</v>
      </c>
      <c r="N316" t="s">
        <v>2005</v>
      </c>
    </row>
    <row r="317" spans="1:14">
      <c r="A317" s="1" t="s">
        <v>2006</v>
      </c>
      <c r="B317" s="1" t="s">
        <v>2007</v>
      </c>
      <c r="C317" s="1" t="s">
        <v>1152</v>
      </c>
      <c r="D317" s="1" t="s">
        <v>1148</v>
      </c>
      <c r="E317" s="1" t="s">
        <v>1121</v>
      </c>
      <c r="F317" s="1" t="s">
        <v>1105</v>
      </c>
      <c r="G317" s="1" t="s">
        <v>1153</v>
      </c>
      <c r="H317">
        <v>32</v>
      </c>
      <c r="I317" t="s">
        <v>2008</v>
      </c>
      <c r="J317">
        <v>139552</v>
      </c>
      <c r="K317">
        <v>0.15</v>
      </c>
      <c r="L317" s="1" t="s">
        <v>1085</v>
      </c>
      <c r="M317" s="1" t="s">
        <v>1137</v>
      </c>
      <c r="N317" t="s">
        <v>1241</v>
      </c>
    </row>
    <row r="318" spans="1:14">
      <c r="A318" s="1" t="s">
        <v>2009</v>
      </c>
      <c r="B318" s="1" t="s">
        <v>2010</v>
      </c>
      <c r="C318" s="1" t="s">
        <v>1160</v>
      </c>
      <c r="D318" s="1" t="s">
        <v>1148</v>
      </c>
      <c r="E318" s="1" t="s">
        <v>1091</v>
      </c>
      <c r="F318" s="1" t="s">
        <v>1083</v>
      </c>
      <c r="G318" s="1" t="s">
        <v>1084</v>
      </c>
      <c r="H318">
        <v>25</v>
      </c>
      <c r="I318" t="s">
        <v>2011</v>
      </c>
      <c r="J318">
        <v>257296</v>
      </c>
      <c r="K318">
        <v>0.35</v>
      </c>
      <c r="L318" s="1" t="s">
        <v>1085</v>
      </c>
      <c r="M318" s="1" t="s">
        <v>1112</v>
      </c>
      <c r="N318" t="s">
        <v>1241</v>
      </c>
    </row>
    <row r="319" spans="1:14">
      <c r="A319" s="1" t="s">
        <v>2012</v>
      </c>
      <c r="B319" s="1" t="s">
        <v>2013</v>
      </c>
      <c r="C319" s="1" t="s">
        <v>1119</v>
      </c>
      <c r="D319" s="1" t="s">
        <v>1127</v>
      </c>
      <c r="E319" s="1" t="s">
        <v>1082</v>
      </c>
      <c r="F319" s="1" t="s">
        <v>1083</v>
      </c>
      <c r="G319" s="1" t="s">
        <v>1084</v>
      </c>
      <c r="H319">
        <v>26</v>
      </c>
      <c r="I319">
        <v>43926</v>
      </c>
      <c r="J319">
        <v>91372</v>
      </c>
      <c r="K319">
        <v>0</v>
      </c>
      <c r="L319" s="1" t="s">
        <v>1085</v>
      </c>
      <c r="M319" s="1" t="s">
        <v>1137</v>
      </c>
      <c r="N319" t="s">
        <v>1241</v>
      </c>
    </row>
    <row r="320" spans="1:14">
      <c r="A320" s="1" t="s">
        <v>2014</v>
      </c>
      <c r="B320" s="1" t="s">
        <v>2015</v>
      </c>
      <c r="C320" s="1" t="s">
        <v>1364</v>
      </c>
      <c r="D320" s="1" t="s">
        <v>1208</v>
      </c>
      <c r="E320" s="1" t="s">
        <v>1091</v>
      </c>
      <c r="F320" s="1" t="s">
        <v>1083</v>
      </c>
      <c r="G320" s="1" t="s">
        <v>1084</v>
      </c>
      <c r="H320">
        <v>53</v>
      </c>
      <c r="I320">
        <v>42861</v>
      </c>
      <c r="J320">
        <v>73601</v>
      </c>
      <c r="K320">
        <v>0</v>
      </c>
      <c r="L320" s="1" t="s">
        <v>1100</v>
      </c>
      <c r="M320" s="1" t="s">
        <v>1129</v>
      </c>
      <c r="N320" t="s">
        <v>1241</v>
      </c>
    </row>
    <row r="321" spans="1:14">
      <c r="A321" s="1" t="s">
        <v>2016</v>
      </c>
      <c r="B321" s="1" t="s">
        <v>2017</v>
      </c>
      <c r="C321" s="1" t="s">
        <v>1104</v>
      </c>
      <c r="D321" s="1" t="s">
        <v>1097</v>
      </c>
      <c r="E321" s="1" t="s">
        <v>1091</v>
      </c>
      <c r="F321" s="1" t="s">
        <v>1105</v>
      </c>
      <c r="G321" s="1" t="s">
        <v>1084</v>
      </c>
      <c r="H321">
        <v>37</v>
      </c>
      <c r="I321" t="s">
        <v>2018</v>
      </c>
      <c r="J321">
        <v>71871</v>
      </c>
      <c r="K321">
        <v>0</v>
      </c>
      <c r="L321" s="1" t="s">
        <v>1100</v>
      </c>
      <c r="M321" s="1" t="s">
        <v>1129</v>
      </c>
      <c r="N321" t="s">
        <v>1241</v>
      </c>
    </row>
    <row r="322" spans="1:14">
      <c r="A322" s="1" t="s">
        <v>2019</v>
      </c>
      <c r="B322" s="1" t="s">
        <v>2020</v>
      </c>
      <c r="C322" s="1" t="s">
        <v>1591</v>
      </c>
      <c r="D322" s="1" t="s">
        <v>1090</v>
      </c>
      <c r="E322" s="1" t="s">
        <v>1121</v>
      </c>
      <c r="F322" s="1" t="s">
        <v>1105</v>
      </c>
      <c r="G322" s="1" t="s">
        <v>1133</v>
      </c>
      <c r="H322">
        <v>31</v>
      </c>
      <c r="I322">
        <v>42553</v>
      </c>
      <c r="J322">
        <v>84925</v>
      </c>
      <c r="K322">
        <v>0</v>
      </c>
      <c r="L322" s="1" t="s">
        <v>1085</v>
      </c>
      <c r="M322" s="1" t="s">
        <v>1112</v>
      </c>
      <c r="N322" t="s">
        <v>1241</v>
      </c>
    </row>
    <row r="323" spans="1:14">
      <c r="A323" s="1" t="s">
        <v>2021</v>
      </c>
      <c r="B323" s="1" t="s">
        <v>2022</v>
      </c>
      <c r="C323" s="1" t="s">
        <v>1152</v>
      </c>
      <c r="D323" s="1" t="s">
        <v>1097</v>
      </c>
      <c r="E323" s="1" t="s">
        <v>1082</v>
      </c>
      <c r="F323" s="1" t="s">
        <v>1105</v>
      </c>
      <c r="G323" s="1" t="s">
        <v>1084</v>
      </c>
      <c r="H323">
        <v>47</v>
      </c>
      <c r="I323">
        <v>40360</v>
      </c>
      <c r="J323">
        <v>155600</v>
      </c>
      <c r="K323">
        <v>0.14000000000000001</v>
      </c>
      <c r="L323" s="1" t="s">
        <v>1100</v>
      </c>
      <c r="M323" s="1" t="s">
        <v>1123</v>
      </c>
      <c r="N323" t="s">
        <v>1241</v>
      </c>
    </row>
    <row r="324" spans="1:14">
      <c r="A324" s="1" t="s">
        <v>2023</v>
      </c>
      <c r="B324" s="1" t="s">
        <v>2024</v>
      </c>
      <c r="C324" s="1" t="s">
        <v>1136</v>
      </c>
      <c r="D324" s="1" t="s">
        <v>1090</v>
      </c>
      <c r="E324" s="1" t="s">
        <v>1098</v>
      </c>
      <c r="F324" s="1" t="s">
        <v>1083</v>
      </c>
      <c r="G324" s="1" t="s">
        <v>1153</v>
      </c>
      <c r="H324">
        <v>32</v>
      </c>
      <c r="I324" t="s">
        <v>2025</v>
      </c>
      <c r="J324">
        <v>101564</v>
      </c>
      <c r="K324">
        <v>0.06</v>
      </c>
      <c r="L324" s="1" t="s">
        <v>1085</v>
      </c>
      <c r="M324" s="1" t="s">
        <v>1112</v>
      </c>
      <c r="N324" t="s">
        <v>1241</v>
      </c>
    </row>
    <row r="325" spans="1:14">
      <c r="A325" s="1" t="s">
        <v>2026</v>
      </c>
      <c r="B325" s="1" t="s">
        <v>2027</v>
      </c>
      <c r="C325" s="1" t="s">
        <v>1080</v>
      </c>
      <c r="D325" s="1" t="s">
        <v>1081</v>
      </c>
      <c r="E325" s="1" t="s">
        <v>1098</v>
      </c>
      <c r="F325" s="1" t="s">
        <v>1083</v>
      </c>
      <c r="G325" s="1" t="s">
        <v>1084</v>
      </c>
      <c r="H325">
        <v>40</v>
      </c>
      <c r="I325">
        <v>40157</v>
      </c>
      <c r="J325">
        <v>80150</v>
      </c>
      <c r="K325">
        <v>0</v>
      </c>
      <c r="L325" s="1" t="s">
        <v>1085</v>
      </c>
      <c r="M325" s="1" t="s">
        <v>1116</v>
      </c>
      <c r="N325" t="s">
        <v>1241</v>
      </c>
    </row>
    <row r="326" spans="1:14">
      <c r="A326" s="1" t="s">
        <v>2028</v>
      </c>
      <c r="B326" s="1" t="s">
        <v>2029</v>
      </c>
      <c r="C326" s="1" t="s">
        <v>1384</v>
      </c>
      <c r="D326" s="1" t="s">
        <v>1208</v>
      </c>
      <c r="E326" s="1" t="s">
        <v>1091</v>
      </c>
      <c r="F326" s="1" t="s">
        <v>1083</v>
      </c>
      <c r="G326" s="1" t="s">
        <v>1084</v>
      </c>
      <c r="H326">
        <v>65</v>
      </c>
      <c r="I326">
        <v>44449</v>
      </c>
      <c r="J326">
        <v>73996</v>
      </c>
      <c r="K326">
        <v>0</v>
      </c>
      <c r="L326" s="1" t="s">
        <v>1100</v>
      </c>
      <c r="M326" s="1" t="s">
        <v>1129</v>
      </c>
      <c r="N326">
        <v>44660</v>
      </c>
    </row>
    <row r="327" spans="1:14">
      <c r="A327" s="1" t="s">
        <v>2030</v>
      </c>
      <c r="B327" s="1" t="s">
        <v>2031</v>
      </c>
      <c r="C327" s="1" t="s">
        <v>1560</v>
      </c>
      <c r="D327" s="1" t="s">
        <v>1097</v>
      </c>
      <c r="E327" s="1" t="s">
        <v>1082</v>
      </c>
      <c r="F327" s="1" t="s">
        <v>1105</v>
      </c>
      <c r="G327" s="1" t="s">
        <v>1106</v>
      </c>
      <c r="H327">
        <v>25</v>
      </c>
      <c r="I327" t="s">
        <v>2032</v>
      </c>
      <c r="J327">
        <v>90109</v>
      </c>
      <c r="K327">
        <v>0</v>
      </c>
      <c r="L327" s="1" t="s">
        <v>1085</v>
      </c>
      <c r="M327" s="1" t="s">
        <v>1107</v>
      </c>
      <c r="N327" t="s">
        <v>1241</v>
      </c>
    </row>
    <row r="328" spans="1:14">
      <c r="A328" s="1" t="s">
        <v>2033</v>
      </c>
      <c r="B328" s="1" t="s">
        <v>2034</v>
      </c>
      <c r="C328" s="1" t="s">
        <v>1446</v>
      </c>
      <c r="D328" s="1" t="s">
        <v>1081</v>
      </c>
      <c r="E328" s="1" t="s">
        <v>1091</v>
      </c>
      <c r="F328" s="1" t="s">
        <v>1083</v>
      </c>
      <c r="G328" s="1" t="s">
        <v>1133</v>
      </c>
      <c r="H328">
        <v>39</v>
      </c>
      <c r="I328" t="s">
        <v>1811</v>
      </c>
      <c r="J328">
        <v>67216</v>
      </c>
      <c r="K328">
        <v>0</v>
      </c>
      <c r="L328" s="1" t="s">
        <v>1085</v>
      </c>
      <c r="M328" s="1" t="s">
        <v>1116</v>
      </c>
      <c r="N328" t="s">
        <v>1241</v>
      </c>
    </row>
    <row r="329" spans="1:14">
      <c r="A329" s="1" t="s">
        <v>2035</v>
      </c>
      <c r="B329" s="1" t="s">
        <v>2036</v>
      </c>
      <c r="C329" s="1" t="s">
        <v>1528</v>
      </c>
      <c r="D329" s="1" t="s">
        <v>1097</v>
      </c>
      <c r="E329" s="1" t="s">
        <v>1098</v>
      </c>
      <c r="F329" s="1" t="s">
        <v>1105</v>
      </c>
      <c r="G329" s="1" t="s">
        <v>1133</v>
      </c>
      <c r="H329">
        <v>52</v>
      </c>
      <c r="I329">
        <v>35982</v>
      </c>
      <c r="J329">
        <v>75402</v>
      </c>
      <c r="K329">
        <v>0</v>
      </c>
      <c r="L329" s="1" t="s">
        <v>1085</v>
      </c>
      <c r="M329" s="1" t="s">
        <v>1116</v>
      </c>
      <c r="N329" t="s">
        <v>1241</v>
      </c>
    </row>
    <row r="330" spans="1:14">
      <c r="A330" s="1" t="s">
        <v>2037</v>
      </c>
      <c r="B330" s="1" t="s">
        <v>2038</v>
      </c>
      <c r="C330" s="1" t="s">
        <v>1318</v>
      </c>
      <c r="D330" s="1" t="s">
        <v>1081</v>
      </c>
      <c r="E330" s="1" t="s">
        <v>1082</v>
      </c>
      <c r="F330" s="1" t="s">
        <v>1105</v>
      </c>
      <c r="G330" s="1" t="s">
        <v>1106</v>
      </c>
      <c r="H330">
        <v>38</v>
      </c>
      <c r="I330" t="s">
        <v>2039</v>
      </c>
      <c r="J330">
        <v>120795</v>
      </c>
      <c r="K330">
        <v>0</v>
      </c>
      <c r="L330" s="1" t="s">
        <v>1221</v>
      </c>
      <c r="M330" s="1" t="s">
        <v>1298</v>
      </c>
      <c r="N330" t="s">
        <v>1241</v>
      </c>
    </row>
    <row r="331" spans="1:14">
      <c r="A331" s="1" t="s">
        <v>2040</v>
      </c>
      <c r="B331" s="1" t="s">
        <v>2041</v>
      </c>
      <c r="C331" s="1" t="s">
        <v>1140</v>
      </c>
      <c r="D331" s="1" t="s">
        <v>1097</v>
      </c>
      <c r="E331" s="1" t="s">
        <v>1121</v>
      </c>
      <c r="F331" s="1" t="s">
        <v>1083</v>
      </c>
      <c r="G331" s="1" t="s">
        <v>1106</v>
      </c>
      <c r="H331">
        <v>33</v>
      </c>
      <c r="I331" t="s">
        <v>1511</v>
      </c>
      <c r="J331">
        <v>44012</v>
      </c>
      <c r="K331">
        <v>0</v>
      </c>
      <c r="L331" s="1" t="s">
        <v>1221</v>
      </c>
      <c r="M331" s="1" t="s">
        <v>1443</v>
      </c>
      <c r="N331" t="s">
        <v>1241</v>
      </c>
    </row>
    <row r="332" spans="1:14">
      <c r="A332" s="1" t="s">
        <v>2042</v>
      </c>
      <c r="B332" s="1" t="s">
        <v>2043</v>
      </c>
      <c r="C332" s="1" t="s">
        <v>1160</v>
      </c>
      <c r="D332" s="1" t="s">
        <v>1127</v>
      </c>
      <c r="E332" s="1" t="s">
        <v>1098</v>
      </c>
      <c r="F332" s="1" t="s">
        <v>1105</v>
      </c>
      <c r="G332" s="1" t="s">
        <v>1084</v>
      </c>
      <c r="H332">
        <v>28</v>
      </c>
      <c r="I332">
        <v>44259</v>
      </c>
      <c r="J332">
        <v>219180</v>
      </c>
      <c r="K332">
        <v>0.33</v>
      </c>
      <c r="L332" s="1" t="s">
        <v>1100</v>
      </c>
      <c r="M332" s="1" t="s">
        <v>1123</v>
      </c>
      <c r="N332" t="s">
        <v>1241</v>
      </c>
    </row>
    <row r="333" spans="1:14">
      <c r="A333" s="1" t="s">
        <v>2044</v>
      </c>
      <c r="B333" s="1" t="s">
        <v>2045</v>
      </c>
      <c r="C333" s="1" t="s">
        <v>1160</v>
      </c>
      <c r="D333" s="1" t="s">
        <v>1081</v>
      </c>
      <c r="E333" s="1" t="s">
        <v>1098</v>
      </c>
      <c r="F333" s="1" t="s">
        <v>1083</v>
      </c>
      <c r="G333" s="1" t="s">
        <v>1084</v>
      </c>
      <c r="H333">
        <v>61</v>
      </c>
      <c r="I333" t="s">
        <v>2046</v>
      </c>
      <c r="J333">
        <v>258700</v>
      </c>
      <c r="K333">
        <v>0.32</v>
      </c>
      <c r="L333" s="1" t="s">
        <v>1085</v>
      </c>
      <c r="M333" s="1" t="s">
        <v>1112</v>
      </c>
      <c r="N333" t="s">
        <v>1241</v>
      </c>
    </row>
    <row r="334" spans="1:14">
      <c r="A334" s="1" t="s">
        <v>2047</v>
      </c>
      <c r="B334" s="1" t="s">
        <v>2048</v>
      </c>
      <c r="C334" s="1" t="s">
        <v>1216</v>
      </c>
      <c r="D334" s="1" t="s">
        <v>1081</v>
      </c>
      <c r="E334" s="1" t="s">
        <v>1121</v>
      </c>
      <c r="F334" s="1" t="s">
        <v>1083</v>
      </c>
      <c r="G334" s="1" t="s">
        <v>1084</v>
      </c>
      <c r="H334">
        <v>32</v>
      </c>
      <c r="I334">
        <v>43282</v>
      </c>
      <c r="J334">
        <v>97496</v>
      </c>
      <c r="K334">
        <v>0</v>
      </c>
      <c r="L334" s="1" t="s">
        <v>1085</v>
      </c>
      <c r="M334" s="1" t="s">
        <v>1137</v>
      </c>
      <c r="N334" t="s">
        <v>1241</v>
      </c>
    </row>
    <row r="335" spans="1:14">
      <c r="A335" s="1" t="s">
        <v>2049</v>
      </c>
      <c r="B335" s="1" t="s">
        <v>2050</v>
      </c>
      <c r="C335" s="1" t="s">
        <v>1160</v>
      </c>
      <c r="D335" s="1" t="s">
        <v>1208</v>
      </c>
      <c r="E335" s="1" t="s">
        <v>1098</v>
      </c>
      <c r="F335" s="1" t="s">
        <v>1083</v>
      </c>
      <c r="G335" s="1" t="s">
        <v>1106</v>
      </c>
      <c r="H335">
        <v>28</v>
      </c>
      <c r="I335">
        <v>43838</v>
      </c>
      <c r="J335">
        <v>239270</v>
      </c>
      <c r="K335">
        <v>0.38</v>
      </c>
      <c r="L335" s="1" t="s">
        <v>1221</v>
      </c>
      <c r="M335" s="1" t="s">
        <v>1443</v>
      </c>
      <c r="N335" t="s">
        <v>1241</v>
      </c>
    </row>
    <row r="336" spans="1:14">
      <c r="A336" s="1" t="s">
        <v>2051</v>
      </c>
      <c r="B336" s="1" t="s">
        <v>2052</v>
      </c>
      <c r="C336" s="1" t="s">
        <v>1136</v>
      </c>
      <c r="D336" s="1" t="s">
        <v>1097</v>
      </c>
      <c r="E336" s="1" t="s">
        <v>1121</v>
      </c>
      <c r="F336" s="1" t="s">
        <v>1083</v>
      </c>
      <c r="G336" s="1" t="s">
        <v>1133</v>
      </c>
      <c r="H336">
        <v>39</v>
      </c>
      <c r="I336">
        <v>40942</v>
      </c>
      <c r="J336">
        <v>103466</v>
      </c>
      <c r="K336">
        <v>0.05</v>
      </c>
      <c r="L336" s="1" t="s">
        <v>1085</v>
      </c>
      <c r="M336" s="1" t="s">
        <v>1093</v>
      </c>
      <c r="N336" t="s">
        <v>1241</v>
      </c>
    </row>
    <row r="337" spans="1:14">
      <c r="A337" s="1" t="s">
        <v>2053</v>
      </c>
      <c r="B337" s="1" t="s">
        <v>2054</v>
      </c>
      <c r="C337" s="1" t="s">
        <v>1119</v>
      </c>
      <c r="D337" s="1" t="s">
        <v>1120</v>
      </c>
      <c r="E337" s="1" t="s">
        <v>1091</v>
      </c>
      <c r="F337" s="1" t="s">
        <v>1083</v>
      </c>
      <c r="G337" s="1" t="s">
        <v>1106</v>
      </c>
      <c r="H337">
        <v>57</v>
      </c>
      <c r="I337" t="s">
        <v>2055</v>
      </c>
      <c r="J337">
        <v>74662</v>
      </c>
      <c r="K337">
        <v>0</v>
      </c>
      <c r="L337" s="1" t="s">
        <v>1221</v>
      </c>
      <c r="M337" s="1" t="s">
        <v>1298</v>
      </c>
      <c r="N337" t="s">
        <v>1241</v>
      </c>
    </row>
    <row r="338" spans="1:14">
      <c r="A338" s="1" t="s">
        <v>2056</v>
      </c>
      <c r="B338" s="1" t="s">
        <v>2057</v>
      </c>
      <c r="C338" s="1" t="s">
        <v>1160</v>
      </c>
      <c r="D338" s="1" t="s">
        <v>1208</v>
      </c>
      <c r="E338" s="1" t="s">
        <v>1098</v>
      </c>
      <c r="F338" s="1" t="s">
        <v>1083</v>
      </c>
      <c r="G338" s="1" t="s">
        <v>1084</v>
      </c>
      <c r="H338">
        <v>40</v>
      </c>
      <c r="I338" t="s">
        <v>2058</v>
      </c>
      <c r="J338">
        <v>227816</v>
      </c>
      <c r="K338">
        <v>0.33</v>
      </c>
      <c r="L338" s="1" t="s">
        <v>1085</v>
      </c>
      <c r="M338" s="1" t="s">
        <v>1093</v>
      </c>
      <c r="N338" t="s">
        <v>1241</v>
      </c>
    </row>
    <row r="339" spans="1:14">
      <c r="A339" s="1" t="s">
        <v>2059</v>
      </c>
      <c r="B339" s="1" t="s">
        <v>2060</v>
      </c>
      <c r="C339" s="1" t="s">
        <v>1160</v>
      </c>
      <c r="D339" s="1" t="s">
        <v>1090</v>
      </c>
      <c r="E339" s="1" t="s">
        <v>1082</v>
      </c>
      <c r="F339" s="1" t="s">
        <v>1083</v>
      </c>
      <c r="G339" s="1" t="s">
        <v>1084</v>
      </c>
      <c r="H339">
        <v>47</v>
      </c>
      <c r="I339">
        <v>41498</v>
      </c>
      <c r="J339">
        <v>246680</v>
      </c>
      <c r="K339">
        <v>0.39</v>
      </c>
      <c r="L339" s="1" t="s">
        <v>1100</v>
      </c>
      <c r="M339" s="1" t="s">
        <v>1188</v>
      </c>
      <c r="N339" t="s">
        <v>1241</v>
      </c>
    </row>
    <row r="340" spans="1:14">
      <c r="A340" s="1" t="s">
        <v>2061</v>
      </c>
      <c r="B340" s="1" t="s">
        <v>2062</v>
      </c>
      <c r="C340" s="1" t="s">
        <v>1285</v>
      </c>
      <c r="D340" s="1" t="s">
        <v>1097</v>
      </c>
      <c r="E340" s="1" t="s">
        <v>1082</v>
      </c>
      <c r="F340" s="1" t="s">
        <v>1105</v>
      </c>
      <c r="G340" s="1" t="s">
        <v>1106</v>
      </c>
      <c r="H340">
        <v>43</v>
      </c>
      <c r="I340" t="s">
        <v>2063</v>
      </c>
      <c r="J340">
        <v>85164</v>
      </c>
      <c r="K340">
        <v>0</v>
      </c>
      <c r="L340" s="1" t="s">
        <v>1221</v>
      </c>
      <c r="M340" s="1" t="s">
        <v>1298</v>
      </c>
      <c r="N340" t="s">
        <v>1241</v>
      </c>
    </row>
    <row r="341" spans="1:14">
      <c r="A341" s="1" t="s">
        <v>2064</v>
      </c>
      <c r="B341" s="1" t="s">
        <v>2065</v>
      </c>
      <c r="C341" s="1" t="s">
        <v>1152</v>
      </c>
      <c r="D341" s="1" t="s">
        <v>1127</v>
      </c>
      <c r="E341" s="1" t="s">
        <v>1082</v>
      </c>
      <c r="F341" s="1" t="s">
        <v>1105</v>
      </c>
      <c r="G341" s="1" t="s">
        <v>1153</v>
      </c>
      <c r="H341">
        <v>33</v>
      </c>
      <c r="I341" t="s">
        <v>2066</v>
      </c>
      <c r="J341">
        <v>135215</v>
      </c>
      <c r="K341">
        <v>0.12</v>
      </c>
      <c r="L341" s="1" t="s">
        <v>1085</v>
      </c>
      <c r="M341" s="1" t="s">
        <v>1137</v>
      </c>
      <c r="N341" t="s">
        <v>1241</v>
      </c>
    </row>
    <row r="342" spans="1:14">
      <c r="A342" s="1" t="s">
        <v>2067</v>
      </c>
      <c r="B342" s="1" t="s">
        <v>2068</v>
      </c>
      <c r="C342" s="1" t="s">
        <v>1384</v>
      </c>
      <c r="D342" s="1" t="s">
        <v>1208</v>
      </c>
      <c r="E342" s="1" t="s">
        <v>1091</v>
      </c>
      <c r="F342" s="1" t="s">
        <v>1083</v>
      </c>
      <c r="G342" s="1" t="s">
        <v>1106</v>
      </c>
      <c r="H342">
        <v>31</v>
      </c>
      <c r="I342" t="s">
        <v>2069</v>
      </c>
      <c r="J342">
        <v>72542</v>
      </c>
      <c r="K342">
        <v>0</v>
      </c>
      <c r="L342" s="1" t="s">
        <v>1085</v>
      </c>
      <c r="M342" s="1" t="s">
        <v>1093</v>
      </c>
      <c r="N342" t="s">
        <v>1241</v>
      </c>
    </row>
    <row r="343" spans="1:14">
      <c r="A343" s="1" t="s">
        <v>2070</v>
      </c>
      <c r="B343" s="1" t="s">
        <v>2071</v>
      </c>
      <c r="C343" s="1" t="s">
        <v>1160</v>
      </c>
      <c r="D343" s="1" t="s">
        <v>1097</v>
      </c>
      <c r="E343" s="1" t="s">
        <v>1098</v>
      </c>
      <c r="F343" s="1" t="s">
        <v>1105</v>
      </c>
      <c r="G343" s="1" t="s">
        <v>1133</v>
      </c>
      <c r="H343">
        <v>47</v>
      </c>
      <c r="I343">
        <v>43283</v>
      </c>
      <c r="J343">
        <v>246303</v>
      </c>
      <c r="K343">
        <v>0.34</v>
      </c>
      <c r="L343" s="1" t="s">
        <v>1085</v>
      </c>
      <c r="M343" s="1" t="s">
        <v>1086</v>
      </c>
      <c r="N343" t="s">
        <v>1241</v>
      </c>
    </row>
    <row r="344" spans="1:14">
      <c r="A344" s="1" t="s">
        <v>2072</v>
      </c>
      <c r="B344" s="1" t="s">
        <v>2073</v>
      </c>
      <c r="C344" s="1" t="s">
        <v>1160</v>
      </c>
      <c r="D344" s="1" t="s">
        <v>1081</v>
      </c>
      <c r="E344" s="1" t="s">
        <v>1091</v>
      </c>
      <c r="F344" s="1" t="s">
        <v>1105</v>
      </c>
      <c r="G344" s="1" t="s">
        <v>1133</v>
      </c>
      <c r="H344">
        <v>60</v>
      </c>
      <c r="I344">
        <v>44505</v>
      </c>
      <c r="J344">
        <v>186400</v>
      </c>
      <c r="K344">
        <v>0.4</v>
      </c>
      <c r="L344" s="1" t="s">
        <v>1085</v>
      </c>
      <c r="M344" s="1" t="s">
        <v>1093</v>
      </c>
      <c r="N344" t="s">
        <v>1241</v>
      </c>
    </row>
    <row r="345" spans="1:14">
      <c r="A345" s="1" t="s">
        <v>2074</v>
      </c>
      <c r="B345" s="1" t="s">
        <v>2075</v>
      </c>
      <c r="C345" s="1" t="s">
        <v>1358</v>
      </c>
      <c r="D345" s="1" t="s">
        <v>1097</v>
      </c>
      <c r="E345" s="1" t="s">
        <v>1091</v>
      </c>
      <c r="F345" s="1" t="s">
        <v>1105</v>
      </c>
      <c r="G345" s="1" t="s">
        <v>1084</v>
      </c>
      <c r="H345">
        <v>50</v>
      </c>
      <c r="I345">
        <v>44724</v>
      </c>
      <c r="J345">
        <v>91004</v>
      </c>
      <c r="K345">
        <v>0</v>
      </c>
      <c r="L345" s="1" t="s">
        <v>1100</v>
      </c>
      <c r="M345" s="1" t="s">
        <v>1101</v>
      </c>
      <c r="N345" t="s">
        <v>1241</v>
      </c>
    </row>
    <row r="346" spans="1:14">
      <c r="A346" s="1" t="s">
        <v>2076</v>
      </c>
      <c r="B346" s="1" t="s">
        <v>2077</v>
      </c>
      <c r="C346" s="1" t="s">
        <v>1136</v>
      </c>
      <c r="D346" s="1" t="s">
        <v>1090</v>
      </c>
      <c r="E346" s="1" t="s">
        <v>1098</v>
      </c>
      <c r="F346" s="1" t="s">
        <v>1083</v>
      </c>
      <c r="G346" s="1" t="s">
        <v>1133</v>
      </c>
      <c r="H346">
        <v>41</v>
      </c>
      <c r="I346" t="s">
        <v>2078</v>
      </c>
      <c r="J346">
        <v>101411</v>
      </c>
      <c r="K346">
        <v>0.08</v>
      </c>
      <c r="L346" s="1" t="s">
        <v>1085</v>
      </c>
      <c r="M346" s="1" t="s">
        <v>1107</v>
      </c>
      <c r="N346" t="s">
        <v>1241</v>
      </c>
    </row>
    <row r="347" spans="1:14">
      <c r="A347" s="1" t="s">
        <v>2079</v>
      </c>
      <c r="B347" s="1" t="s">
        <v>2080</v>
      </c>
      <c r="C347" s="1" t="s">
        <v>1080</v>
      </c>
      <c r="D347" s="1" t="s">
        <v>1081</v>
      </c>
      <c r="E347" s="1" t="s">
        <v>1121</v>
      </c>
      <c r="F347" s="1" t="s">
        <v>1105</v>
      </c>
      <c r="G347" s="1" t="s">
        <v>1106</v>
      </c>
      <c r="H347">
        <v>28</v>
      </c>
      <c r="I347">
        <v>44082</v>
      </c>
      <c r="J347">
        <v>111779</v>
      </c>
      <c r="K347">
        <v>0</v>
      </c>
      <c r="L347" s="1" t="s">
        <v>1085</v>
      </c>
      <c r="M347" s="1" t="s">
        <v>1093</v>
      </c>
      <c r="N347" t="s">
        <v>1241</v>
      </c>
    </row>
    <row r="348" spans="1:14">
      <c r="A348" s="1" t="s">
        <v>2081</v>
      </c>
      <c r="B348" s="1" t="s">
        <v>2082</v>
      </c>
      <c r="C348" s="1" t="s">
        <v>1173</v>
      </c>
      <c r="D348" s="1" t="s">
        <v>1097</v>
      </c>
      <c r="E348" s="1" t="s">
        <v>1082</v>
      </c>
      <c r="F348" s="1" t="s">
        <v>1105</v>
      </c>
      <c r="G348" s="1" t="s">
        <v>1133</v>
      </c>
      <c r="H348">
        <v>25</v>
      </c>
      <c r="I348" t="s">
        <v>2083</v>
      </c>
      <c r="J348">
        <v>86075</v>
      </c>
      <c r="K348">
        <v>0</v>
      </c>
      <c r="L348" s="1" t="s">
        <v>1085</v>
      </c>
      <c r="M348" s="1" t="s">
        <v>1137</v>
      </c>
      <c r="N348" t="s">
        <v>1241</v>
      </c>
    </row>
    <row r="349" spans="1:14">
      <c r="A349" s="1" t="s">
        <v>2084</v>
      </c>
      <c r="B349" s="1" t="s">
        <v>2085</v>
      </c>
      <c r="C349" s="1" t="s">
        <v>1089</v>
      </c>
      <c r="D349" s="1" t="s">
        <v>1127</v>
      </c>
      <c r="E349" s="1" t="s">
        <v>1121</v>
      </c>
      <c r="F349" s="1" t="s">
        <v>1083</v>
      </c>
      <c r="G349" s="1" t="s">
        <v>1106</v>
      </c>
      <c r="H349">
        <v>45</v>
      </c>
      <c r="I349" t="s">
        <v>2086</v>
      </c>
      <c r="J349">
        <v>52798</v>
      </c>
      <c r="K349">
        <v>0</v>
      </c>
      <c r="L349" s="1" t="s">
        <v>1085</v>
      </c>
      <c r="M349" s="1" t="s">
        <v>1137</v>
      </c>
      <c r="N349" t="s">
        <v>2087</v>
      </c>
    </row>
    <row r="350" spans="1:14">
      <c r="A350" s="1" t="s">
        <v>2088</v>
      </c>
      <c r="B350" s="1" t="s">
        <v>2089</v>
      </c>
      <c r="C350" s="1" t="s">
        <v>1560</v>
      </c>
      <c r="D350" s="1" t="s">
        <v>1097</v>
      </c>
      <c r="E350" s="1" t="s">
        <v>1121</v>
      </c>
      <c r="F350" s="1" t="s">
        <v>1105</v>
      </c>
      <c r="G350" s="1" t="s">
        <v>1084</v>
      </c>
      <c r="H350">
        <v>63</v>
      </c>
      <c r="I350" t="s">
        <v>2090</v>
      </c>
      <c r="J350">
        <v>96136</v>
      </c>
      <c r="K350">
        <v>0</v>
      </c>
      <c r="L350" s="1" t="s">
        <v>1100</v>
      </c>
      <c r="M350" s="1" t="s">
        <v>1101</v>
      </c>
      <c r="N350" t="s">
        <v>1241</v>
      </c>
    </row>
    <row r="351" spans="1:14">
      <c r="A351" s="1" t="s">
        <v>2091</v>
      </c>
      <c r="B351" s="1" t="s">
        <v>2092</v>
      </c>
      <c r="C351" s="1" t="s">
        <v>1119</v>
      </c>
      <c r="D351" s="1" t="s">
        <v>1148</v>
      </c>
      <c r="E351" s="1" t="s">
        <v>1098</v>
      </c>
      <c r="F351" s="1" t="s">
        <v>1083</v>
      </c>
      <c r="G351" s="1" t="s">
        <v>1106</v>
      </c>
      <c r="H351">
        <v>52</v>
      </c>
      <c r="I351">
        <v>37568</v>
      </c>
      <c r="J351">
        <v>95682</v>
      </c>
      <c r="K351">
        <v>0</v>
      </c>
      <c r="L351" s="1" t="s">
        <v>1085</v>
      </c>
      <c r="M351" s="1" t="s">
        <v>1107</v>
      </c>
      <c r="N351" t="s">
        <v>2093</v>
      </c>
    </row>
    <row r="352" spans="1:14">
      <c r="A352" s="1" t="s">
        <v>2094</v>
      </c>
      <c r="B352" s="1" t="s">
        <v>2095</v>
      </c>
      <c r="C352" s="1" t="s">
        <v>1126</v>
      </c>
      <c r="D352" s="1" t="s">
        <v>1148</v>
      </c>
      <c r="E352" s="1" t="s">
        <v>1082</v>
      </c>
      <c r="F352" s="1" t="s">
        <v>1105</v>
      </c>
      <c r="G352" s="1" t="s">
        <v>1084</v>
      </c>
      <c r="H352">
        <v>59</v>
      </c>
      <c r="I352" t="s">
        <v>2096</v>
      </c>
      <c r="J352">
        <v>55476</v>
      </c>
      <c r="K352">
        <v>0</v>
      </c>
      <c r="L352" s="1" t="s">
        <v>1100</v>
      </c>
      <c r="M352" s="1" t="s">
        <v>1123</v>
      </c>
      <c r="N352" t="s">
        <v>1241</v>
      </c>
    </row>
    <row r="353" spans="1:14">
      <c r="A353" s="1" t="s">
        <v>2097</v>
      </c>
      <c r="B353" s="1" t="s">
        <v>2098</v>
      </c>
      <c r="C353" s="1" t="s">
        <v>1160</v>
      </c>
      <c r="D353" s="1" t="s">
        <v>1127</v>
      </c>
      <c r="E353" s="1" t="s">
        <v>1082</v>
      </c>
      <c r="F353" s="1" t="s">
        <v>1083</v>
      </c>
      <c r="G353" s="1" t="s">
        <v>1133</v>
      </c>
      <c r="H353">
        <v>30</v>
      </c>
      <c r="I353" t="s">
        <v>2099</v>
      </c>
      <c r="J353">
        <v>197792</v>
      </c>
      <c r="K353">
        <v>0.34</v>
      </c>
      <c r="L353" s="1" t="s">
        <v>1085</v>
      </c>
      <c r="M353" s="1" t="s">
        <v>1112</v>
      </c>
      <c r="N353" t="s">
        <v>1241</v>
      </c>
    </row>
    <row r="354" spans="1:14">
      <c r="A354" s="1" t="s">
        <v>2100</v>
      </c>
      <c r="B354" s="1" t="s">
        <v>2101</v>
      </c>
      <c r="C354" s="1" t="s">
        <v>1446</v>
      </c>
      <c r="D354" s="1" t="s">
        <v>1081</v>
      </c>
      <c r="E354" s="1" t="s">
        <v>1098</v>
      </c>
      <c r="F354" s="1" t="s">
        <v>1105</v>
      </c>
      <c r="G354" s="1" t="s">
        <v>1133</v>
      </c>
      <c r="H354">
        <v>55</v>
      </c>
      <c r="I354">
        <v>40093</v>
      </c>
      <c r="J354">
        <v>82271</v>
      </c>
      <c r="K354">
        <v>0</v>
      </c>
      <c r="L354" s="1" t="s">
        <v>1085</v>
      </c>
      <c r="M354" s="1" t="s">
        <v>1093</v>
      </c>
      <c r="N354" t="s">
        <v>1241</v>
      </c>
    </row>
    <row r="355" spans="1:14">
      <c r="A355" s="1" t="s">
        <v>2102</v>
      </c>
      <c r="B355" s="1" t="s">
        <v>2103</v>
      </c>
      <c r="C355" s="1" t="s">
        <v>1152</v>
      </c>
      <c r="D355" s="1" t="s">
        <v>1120</v>
      </c>
      <c r="E355" s="1" t="s">
        <v>1121</v>
      </c>
      <c r="F355" s="1" t="s">
        <v>1083</v>
      </c>
      <c r="G355" s="1" t="s">
        <v>1084</v>
      </c>
      <c r="H355">
        <v>65</v>
      </c>
      <c r="I355" t="s">
        <v>2104</v>
      </c>
      <c r="J355">
        <v>155716</v>
      </c>
      <c r="K355">
        <v>0.12</v>
      </c>
      <c r="L355" s="1" t="s">
        <v>1085</v>
      </c>
      <c r="M355" s="1" t="s">
        <v>1107</v>
      </c>
      <c r="N355" t="s">
        <v>1241</v>
      </c>
    </row>
    <row r="356" spans="1:14">
      <c r="A356" s="1" t="s">
        <v>2105</v>
      </c>
      <c r="B356" s="1" t="s">
        <v>2106</v>
      </c>
      <c r="C356" s="1" t="s">
        <v>1384</v>
      </c>
      <c r="D356" s="1" t="s">
        <v>1208</v>
      </c>
      <c r="E356" s="1" t="s">
        <v>1091</v>
      </c>
      <c r="F356" s="1" t="s">
        <v>1105</v>
      </c>
      <c r="G356" s="1" t="s">
        <v>1133</v>
      </c>
      <c r="H356">
        <v>34</v>
      </c>
      <c r="I356" t="s">
        <v>2107</v>
      </c>
      <c r="J356">
        <v>71699</v>
      </c>
      <c r="K356">
        <v>0</v>
      </c>
      <c r="L356" s="1" t="s">
        <v>1085</v>
      </c>
      <c r="M356" s="1" t="s">
        <v>1116</v>
      </c>
      <c r="N356" t="s">
        <v>1241</v>
      </c>
    </row>
    <row r="357" spans="1:14">
      <c r="A357" s="1" t="s">
        <v>2108</v>
      </c>
      <c r="B357" s="1" t="s">
        <v>2109</v>
      </c>
      <c r="C357" s="1" t="s">
        <v>1152</v>
      </c>
      <c r="D357" s="1" t="s">
        <v>1208</v>
      </c>
      <c r="E357" s="1" t="s">
        <v>1082</v>
      </c>
      <c r="F357" s="1" t="s">
        <v>1105</v>
      </c>
      <c r="G357" s="1" t="s">
        <v>1084</v>
      </c>
      <c r="H357">
        <v>51</v>
      </c>
      <c r="I357" t="s">
        <v>2110</v>
      </c>
      <c r="J357">
        <v>147436</v>
      </c>
      <c r="K357">
        <v>0.11</v>
      </c>
      <c r="L357" s="1" t="s">
        <v>1085</v>
      </c>
      <c r="M357" s="1" t="s">
        <v>1112</v>
      </c>
      <c r="N357" t="s">
        <v>1241</v>
      </c>
    </row>
    <row r="358" spans="1:14">
      <c r="A358" s="1" t="s">
        <v>2111</v>
      </c>
      <c r="B358" s="1" t="s">
        <v>2112</v>
      </c>
      <c r="C358" s="1" t="s">
        <v>1364</v>
      </c>
      <c r="D358" s="1" t="s">
        <v>1208</v>
      </c>
      <c r="E358" s="1" t="s">
        <v>1082</v>
      </c>
      <c r="F358" s="1" t="s">
        <v>1105</v>
      </c>
      <c r="G358" s="1" t="s">
        <v>1084</v>
      </c>
      <c r="H358">
        <v>52</v>
      </c>
      <c r="I358" t="s">
        <v>2113</v>
      </c>
      <c r="J358">
        <v>88220</v>
      </c>
      <c r="K358">
        <v>0</v>
      </c>
      <c r="L358" s="1" t="s">
        <v>1100</v>
      </c>
      <c r="M358" s="1" t="s">
        <v>1101</v>
      </c>
      <c r="N358" t="s">
        <v>1241</v>
      </c>
    </row>
    <row r="359" spans="1:14">
      <c r="A359" s="1" t="s">
        <v>2114</v>
      </c>
      <c r="B359" s="1" t="s">
        <v>2115</v>
      </c>
      <c r="C359" s="1" t="s">
        <v>1177</v>
      </c>
      <c r="D359" s="1" t="s">
        <v>1090</v>
      </c>
      <c r="E359" s="1" t="s">
        <v>1121</v>
      </c>
      <c r="F359" s="1" t="s">
        <v>1105</v>
      </c>
      <c r="G359" s="1" t="s">
        <v>1106</v>
      </c>
      <c r="H359">
        <v>44</v>
      </c>
      <c r="I359">
        <v>43986</v>
      </c>
      <c r="J359">
        <v>54295</v>
      </c>
      <c r="K359">
        <v>0</v>
      </c>
      <c r="L359" s="1" t="s">
        <v>1085</v>
      </c>
      <c r="M359" s="1" t="s">
        <v>1086</v>
      </c>
      <c r="N359" t="s">
        <v>1241</v>
      </c>
    </row>
    <row r="360" spans="1:14">
      <c r="A360" s="1" t="s">
        <v>2116</v>
      </c>
      <c r="B360" s="1" t="s">
        <v>2117</v>
      </c>
      <c r="C360" s="1" t="s">
        <v>1160</v>
      </c>
      <c r="D360" s="1" t="s">
        <v>1208</v>
      </c>
      <c r="E360" s="1" t="s">
        <v>1091</v>
      </c>
      <c r="F360" s="1" t="s">
        <v>1105</v>
      </c>
      <c r="G360" s="1" t="s">
        <v>1106</v>
      </c>
      <c r="H360">
        <v>44</v>
      </c>
      <c r="I360">
        <v>38327</v>
      </c>
      <c r="J360">
        <v>246538</v>
      </c>
      <c r="K360">
        <v>0.35</v>
      </c>
      <c r="L360" s="1" t="s">
        <v>1085</v>
      </c>
      <c r="M360" s="1" t="s">
        <v>1137</v>
      </c>
      <c r="N360" t="s">
        <v>1241</v>
      </c>
    </row>
    <row r="361" spans="1:14">
      <c r="A361" s="1" t="s">
        <v>2118</v>
      </c>
      <c r="B361" s="1" t="s">
        <v>2119</v>
      </c>
      <c r="C361" s="1" t="s">
        <v>1269</v>
      </c>
      <c r="D361" s="1" t="s">
        <v>1097</v>
      </c>
      <c r="E361" s="1" t="s">
        <v>1121</v>
      </c>
      <c r="F361" s="1" t="s">
        <v>1083</v>
      </c>
      <c r="G361" s="1" t="s">
        <v>1106</v>
      </c>
      <c r="H361">
        <v>40</v>
      </c>
      <c r="I361" t="s">
        <v>2120</v>
      </c>
      <c r="J361">
        <v>43645</v>
      </c>
      <c r="K361">
        <v>0</v>
      </c>
      <c r="L361" s="1" t="s">
        <v>1085</v>
      </c>
      <c r="M361" s="1" t="s">
        <v>1112</v>
      </c>
      <c r="N361">
        <v>39696</v>
      </c>
    </row>
    <row r="362" spans="1:14">
      <c r="A362" s="1" t="s">
        <v>2121</v>
      </c>
      <c r="B362" s="1" t="s">
        <v>2122</v>
      </c>
      <c r="C362" s="1" t="s">
        <v>1136</v>
      </c>
      <c r="D362" s="1" t="s">
        <v>1208</v>
      </c>
      <c r="E362" s="1" t="s">
        <v>1082</v>
      </c>
      <c r="F362" s="1" t="s">
        <v>1083</v>
      </c>
      <c r="G362" s="1" t="s">
        <v>1084</v>
      </c>
      <c r="H362">
        <v>25</v>
      </c>
      <c r="I362">
        <v>44869</v>
      </c>
      <c r="J362">
        <v>125644</v>
      </c>
      <c r="K362">
        <v>7.0000000000000007E-2</v>
      </c>
      <c r="L362" s="1" t="s">
        <v>1085</v>
      </c>
      <c r="M362" s="1" t="s">
        <v>1107</v>
      </c>
      <c r="N362" t="s">
        <v>1241</v>
      </c>
    </row>
    <row r="363" spans="1:14">
      <c r="A363" s="1" t="s">
        <v>2123</v>
      </c>
      <c r="B363" s="1" t="s">
        <v>2124</v>
      </c>
      <c r="C363" s="1" t="s">
        <v>1165</v>
      </c>
      <c r="D363" s="1" t="s">
        <v>1097</v>
      </c>
      <c r="E363" s="1" t="s">
        <v>1098</v>
      </c>
      <c r="F363" s="1" t="s">
        <v>1105</v>
      </c>
      <c r="G363" s="1" t="s">
        <v>1106</v>
      </c>
      <c r="H363">
        <v>32</v>
      </c>
      <c r="I363" t="s">
        <v>2099</v>
      </c>
      <c r="J363">
        <v>78414</v>
      </c>
      <c r="K363">
        <v>0</v>
      </c>
      <c r="L363" s="1" t="s">
        <v>1085</v>
      </c>
      <c r="M363" s="1" t="s">
        <v>1107</v>
      </c>
      <c r="N363" t="s">
        <v>1241</v>
      </c>
    </row>
    <row r="364" spans="1:14">
      <c r="A364" s="1" t="s">
        <v>2125</v>
      </c>
      <c r="B364" s="1" t="s">
        <v>2126</v>
      </c>
      <c r="C364" s="1" t="s">
        <v>1119</v>
      </c>
      <c r="D364" s="1" t="s">
        <v>1148</v>
      </c>
      <c r="E364" s="1" t="s">
        <v>1121</v>
      </c>
      <c r="F364" s="1" t="s">
        <v>1105</v>
      </c>
      <c r="G364" s="1" t="s">
        <v>1106</v>
      </c>
      <c r="H364">
        <v>45</v>
      </c>
      <c r="I364" t="s">
        <v>2127</v>
      </c>
      <c r="J364">
        <v>88016</v>
      </c>
      <c r="K364">
        <v>0</v>
      </c>
      <c r="L364" s="1" t="s">
        <v>1221</v>
      </c>
      <c r="M364" s="1" t="s">
        <v>1222</v>
      </c>
      <c r="N364" t="s">
        <v>1241</v>
      </c>
    </row>
    <row r="365" spans="1:14">
      <c r="A365" s="1" t="s">
        <v>2128</v>
      </c>
      <c r="B365" s="1" t="s">
        <v>2129</v>
      </c>
      <c r="C365" s="1" t="s">
        <v>1294</v>
      </c>
      <c r="D365" s="1" t="s">
        <v>1097</v>
      </c>
      <c r="E365" s="1" t="s">
        <v>1091</v>
      </c>
      <c r="F365" s="1" t="s">
        <v>1105</v>
      </c>
      <c r="G365" s="1" t="s">
        <v>1133</v>
      </c>
      <c r="H365">
        <v>56</v>
      </c>
      <c r="I365">
        <v>44386</v>
      </c>
      <c r="J365">
        <v>66561</v>
      </c>
      <c r="K365">
        <v>0.06</v>
      </c>
      <c r="L365" s="1" t="s">
        <v>1085</v>
      </c>
      <c r="M365" s="1" t="s">
        <v>1093</v>
      </c>
      <c r="N365" t="s">
        <v>1241</v>
      </c>
    </row>
    <row r="366" spans="1:14">
      <c r="A366" s="1" t="s">
        <v>2130</v>
      </c>
      <c r="B366" s="1" t="s">
        <v>2131</v>
      </c>
      <c r="C366" s="1" t="s">
        <v>1594</v>
      </c>
      <c r="D366" s="1" t="s">
        <v>1081</v>
      </c>
      <c r="E366" s="1" t="s">
        <v>1098</v>
      </c>
      <c r="F366" s="1" t="s">
        <v>1105</v>
      </c>
      <c r="G366" s="1" t="s">
        <v>1106</v>
      </c>
      <c r="H366">
        <v>52</v>
      </c>
      <c r="I366" t="s">
        <v>2132</v>
      </c>
      <c r="J366">
        <v>89811</v>
      </c>
      <c r="K366">
        <v>0</v>
      </c>
      <c r="L366" s="1" t="s">
        <v>1221</v>
      </c>
      <c r="M366" s="1" t="s">
        <v>1222</v>
      </c>
      <c r="N366" t="s">
        <v>2133</v>
      </c>
    </row>
    <row r="367" spans="1:14">
      <c r="A367" s="1" t="s">
        <v>2134</v>
      </c>
      <c r="B367" s="1" t="s">
        <v>2135</v>
      </c>
      <c r="C367" s="1" t="s">
        <v>1136</v>
      </c>
      <c r="D367" s="1" t="s">
        <v>1097</v>
      </c>
      <c r="E367" s="1" t="s">
        <v>1082</v>
      </c>
      <c r="F367" s="1" t="s">
        <v>1083</v>
      </c>
      <c r="G367" s="1" t="s">
        <v>1084</v>
      </c>
      <c r="H367">
        <v>49</v>
      </c>
      <c r="I367" t="s">
        <v>2136</v>
      </c>
      <c r="J367">
        <v>125506</v>
      </c>
      <c r="K367">
        <v>0.09</v>
      </c>
      <c r="L367" s="1" t="s">
        <v>1085</v>
      </c>
      <c r="M367" s="1" t="s">
        <v>1107</v>
      </c>
      <c r="N367" t="s">
        <v>1241</v>
      </c>
    </row>
    <row r="368" spans="1:14">
      <c r="A368" s="1" t="s">
        <v>2137</v>
      </c>
      <c r="B368" s="1" t="s">
        <v>2138</v>
      </c>
      <c r="C368" s="1" t="s">
        <v>1126</v>
      </c>
      <c r="D368" s="1" t="s">
        <v>1127</v>
      </c>
      <c r="E368" s="1" t="s">
        <v>1082</v>
      </c>
      <c r="F368" s="1" t="s">
        <v>1105</v>
      </c>
      <c r="G368" s="1" t="s">
        <v>1084</v>
      </c>
      <c r="H368">
        <v>46</v>
      </c>
      <c r="I368" t="s">
        <v>2139</v>
      </c>
      <c r="J368">
        <v>56409</v>
      </c>
      <c r="K368">
        <v>0</v>
      </c>
      <c r="L368" s="1" t="s">
        <v>1085</v>
      </c>
      <c r="M368" s="1" t="s">
        <v>1086</v>
      </c>
      <c r="N368" t="s">
        <v>1241</v>
      </c>
    </row>
    <row r="369" spans="1:14">
      <c r="A369" s="1" t="s">
        <v>2140</v>
      </c>
      <c r="B369" s="1" t="s">
        <v>2141</v>
      </c>
      <c r="C369" s="1" t="s">
        <v>1152</v>
      </c>
      <c r="D369" s="1" t="s">
        <v>1090</v>
      </c>
      <c r="E369" s="1" t="s">
        <v>1098</v>
      </c>
      <c r="F369" s="1" t="s">
        <v>1105</v>
      </c>
      <c r="G369" s="1" t="s">
        <v>1084</v>
      </c>
      <c r="H369">
        <v>39</v>
      </c>
      <c r="I369" t="s">
        <v>2142</v>
      </c>
      <c r="J369">
        <v>122058</v>
      </c>
      <c r="K369">
        <v>0.14000000000000001</v>
      </c>
      <c r="L369" s="1" t="s">
        <v>1100</v>
      </c>
      <c r="M369" s="1" t="s">
        <v>1188</v>
      </c>
      <c r="N369" t="s">
        <v>1241</v>
      </c>
    </row>
    <row r="370" spans="1:14">
      <c r="A370" s="1" t="s">
        <v>2143</v>
      </c>
      <c r="B370" s="1" t="s">
        <v>2144</v>
      </c>
      <c r="C370" s="1" t="s">
        <v>1119</v>
      </c>
      <c r="D370" s="1" t="s">
        <v>1090</v>
      </c>
      <c r="E370" s="1" t="s">
        <v>1082</v>
      </c>
      <c r="F370" s="1" t="s">
        <v>1105</v>
      </c>
      <c r="G370" s="1" t="s">
        <v>1106</v>
      </c>
      <c r="H370">
        <v>55</v>
      </c>
      <c r="I370" t="s">
        <v>2145</v>
      </c>
      <c r="J370">
        <v>82550</v>
      </c>
      <c r="K370">
        <v>0</v>
      </c>
      <c r="L370" s="1" t="s">
        <v>1085</v>
      </c>
      <c r="M370" s="1" t="s">
        <v>1093</v>
      </c>
      <c r="N370" t="s">
        <v>1241</v>
      </c>
    </row>
    <row r="371" spans="1:14">
      <c r="A371" s="1" t="s">
        <v>2146</v>
      </c>
      <c r="B371" s="1" t="s">
        <v>2147</v>
      </c>
      <c r="C371" s="1" t="s">
        <v>1132</v>
      </c>
      <c r="D371" s="1" t="s">
        <v>1097</v>
      </c>
      <c r="E371" s="1" t="s">
        <v>1082</v>
      </c>
      <c r="F371" s="1" t="s">
        <v>1083</v>
      </c>
      <c r="G371" s="1" t="s">
        <v>1084</v>
      </c>
      <c r="H371">
        <v>34</v>
      </c>
      <c r="I371" t="s">
        <v>2148</v>
      </c>
      <c r="J371">
        <v>93760</v>
      </c>
      <c r="K371">
        <v>0</v>
      </c>
      <c r="L371" s="1" t="s">
        <v>1085</v>
      </c>
      <c r="M371" s="1" t="s">
        <v>1137</v>
      </c>
      <c r="N371" t="s">
        <v>1241</v>
      </c>
    </row>
    <row r="372" spans="1:14">
      <c r="A372" s="1" t="s">
        <v>2149</v>
      </c>
      <c r="B372" s="1" t="s">
        <v>2150</v>
      </c>
      <c r="C372" s="1" t="s">
        <v>1089</v>
      </c>
      <c r="D372" s="1" t="s">
        <v>1090</v>
      </c>
      <c r="E372" s="1" t="s">
        <v>1098</v>
      </c>
      <c r="F372" s="1" t="s">
        <v>1105</v>
      </c>
      <c r="G372" s="1" t="s">
        <v>1153</v>
      </c>
      <c r="H372">
        <v>56</v>
      </c>
      <c r="I372" t="s">
        <v>2151</v>
      </c>
      <c r="J372">
        <v>55008</v>
      </c>
      <c r="K372">
        <v>0</v>
      </c>
      <c r="L372" s="1" t="s">
        <v>1085</v>
      </c>
      <c r="M372" s="1" t="s">
        <v>1112</v>
      </c>
      <c r="N372" t="s">
        <v>1241</v>
      </c>
    </row>
    <row r="373" spans="1:14">
      <c r="A373" s="1" t="s">
        <v>2152</v>
      </c>
      <c r="B373" s="1" t="s">
        <v>2153</v>
      </c>
      <c r="C373" s="1" t="s">
        <v>1126</v>
      </c>
      <c r="D373" s="1" t="s">
        <v>1148</v>
      </c>
      <c r="E373" s="1" t="s">
        <v>1098</v>
      </c>
      <c r="F373" s="1" t="s">
        <v>1083</v>
      </c>
      <c r="G373" s="1" t="s">
        <v>1106</v>
      </c>
      <c r="H373">
        <v>56</v>
      </c>
      <c r="I373" t="s">
        <v>2154</v>
      </c>
      <c r="J373">
        <v>65368</v>
      </c>
      <c r="K373">
        <v>0</v>
      </c>
      <c r="L373" s="1" t="s">
        <v>1085</v>
      </c>
      <c r="M373" s="1" t="s">
        <v>1107</v>
      </c>
      <c r="N373" t="s">
        <v>1241</v>
      </c>
    </row>
    <row r="374" spans="1:14">
      <c r="A374" s="1" t="s">
        <v>2155</v>
      </c>
      <c r="B374" s="1" t="s">
        <v>2156</v>
      </c>
      <c r="C374" s="1" t="s">
        <v>1216</v>
      </c>
      <c r="D374" s="1" t="s">
        <v>1081</v>
      </c>
      <c r="E374" s="1" t="s">
        <v>1098</v>
      </c>
      <c r="F374" s="1" t="s">
        <v>1083</v>
      </c>
      <c r="G374" s="1" t="s">
        <v>1084</v>
      </c>
      <c r="H374">
        <v>62</v>
      </c>
      <c r="I374" t="s">
        <v>2157</v>
      </c>
      <c r="J374">
        <v>83955</v>
      </c>
      <c r="K374">
        <v>0</v>
      </c>
      <c r="L374" s="1" t="s">
        <v>1085</v>
      </c>
      <c r="M374" s="1" t="s">
        <v>1116</v>
      </c>
      <c r="N374" t="s">
        <v>1241</v>
      </c>
    </row>
    <row r="375" spans="1:14">
      <c r="A375" s="1" t="s">
        <v>2158</v>
      </c>
      <c r="B375" s="1" t="s">
        <v>2159</v>
      </c>
      <c r="C375" s="1" t="s">
        <v>1160</v>
      </c>
      <c r="D375" s="1" t="s">
        <v>1148</v>
      </c>
      <c r="E375" s="1" t="s">
        <v>1121</v>
      </c>
      <c r="F375" s="1" t="s">
        <v>1105</v>
      </c>
      <c r="G375" s="1" t="s">
        <v>1106</v>
      </c>
      <c r="H375">
        <v>60</v>
      </c>
      <c r="I375" t="s">
        <v>2160</v>
      </c>
      <c r="J375">
        <v>231907</v>
      </c>
      <c r="K375">
        <v>0.38</v>
      </c>
      <c r="L375" s="1" t="s">
        <v>1085</v>
      </c>
      <c r="M375" s="1" t="s">
        <v>1112</v>
      </c>
      <c r="N375" t="s">
        <v>1241</v>
      </c>
    </row>
    <row r="376" spans="1:14">
      <c r="A376" s="1" t="s">
        <v>2161</v>
      </c>
      <c r="B376" s="1" t="s">
        <v>2162</v>
      </c>
      <c r="C376" s="1" t="s">
        <v>1104</v>
      </c>
      <c r="D376" s="1" t="s">
        <v>1097</v>
      </c>
      <c r="E376" s="1" t="s">
        <v>1082</v>
      </c>
      <c r="F376" s="1" t="s">
        <v>1083</v>
      </c>
      <c r="G376" s="1" t="s">
        <v>1133</v>
      </c>
      <c r="H376">
        <v>42</v>
      </c>
      <c r="I376" t="s">
        <v>2163</v>
      </c>
      <c r="J376">
        <v>97628</v>
      </c>
      <c r="K376">
        <v>0</v>
      </c>
      <c r="L376" s="1" t="s">
        <v>1085</v>
      </c>
      <c r="M376" s="1" t="s">
        <v>1116</v>
      </c>
      <c r="N376" t="s">
        <v>1241</v>
      </c>
    </row>
    <row r="377" spans="1:14">
      <c r="A377" s="1" t="s">
        <v>2164</v>
      </c>
      <c r="B377" s="1" t="s">
        <v>2165</v>
      </c>
      <c r="C377" s="1" t="s">
        <v>1104</v>
      </c>
      <c r="D377" s="1" t="s">
        <v>1097</v>
      </c>
      <c r="E377" s="1" t="s">
        <v>1082</v>
      </c>
      <c r="F377" s="1" t="s">
        <v>1083</v>
      </c>
      <c r="G377" s="1" t="s">
        <v>1106</v>
      </c>
      <c r="H377">
        <v>27</v>
      </c>
      <c r="I377" t="s">
        <v>2166</v>
      </c>
      <c r="J377">
        <v>88142</v>
      </c>
      <c r="K377">
        <v>0</v>
      </c>
      <c r="L377" s="1" t="s">
        <v>1085</v>
      </c>
      <c r="M377" s="1" t="s">
        <v>1086</v>
      </c>
      <c r="N377" t="s">
        <v>1241</v>
      </c>
    </row>
    <row r="378" spans="1:14">
      <c r="A378" s="1" t="s">
        <v>2167</v>
      </c>
      <c r="B378" s="1" t="s">
        <v>2168</v>
      </c>
      <c r="C378" s="1" t="s">
        <v>1216</v>
      </c>
      <c r="D378" s="1" t="s">
        <v>1081</v>
      </c>
      <c r="E378" s="1" t="s">
        <v>1091</v>
      </c>
      <c r="F378" s="1" t="s">
        <v>1105</v>
      </c>
      <c r="G378" s="1" t="s">
        <v>1084</v>
      </c>
      <c r="H378">
        <v>37</v>
      </c>
      <c r="I378">
        <v>43864</v>
      </c>
      <c r="J378">
        <v>83465</v>
      </c>
      <c r="K378">
        <v>0</v>
      </c>
      <c r="L378" s="1" t="s">
        <v>1100</v>
      </c>
      <c r="M378" s="1" t="s">
        <v>1188</v>
      </c>
      <c r="N378" t="s">
        <v>1241</v>
      </c>
    </row>
    <row r="379" spans="1:14">
      <c r="A379" s="1" t="s">
        <v>2169</v>
      </c>
      <c r="B379" s="1" t="s">
        <v>2170</v>
      </c>
      <c r="C379" s="1" t="s">
        <v>1110</v>
      </c>
      <c r="D379" s="1" t="s">
        <v>1097</v>
      </c>
      <c r="E379" s="1" t="s">
        <v>1082</v>
      </c>
      <c r="F379" s="1" t="s">
        <v>1083</v>
      </c>
      <c r="G379" s="1" t="s">
        <v>1106</v>
      </c>
      <c r="H379">
        <v>29</v>
      </c>
      <c r="I379">
        <v>44805</v>
      </c>
      <c r="J379">
        <v>197731</v>
      </c>
      <c r="K379">
        <v>0.15</v>
      </c>
      <c r="L379" s="1" t="s">
        <v>1085</v>
      </c>
      <c r="M379" s="1" t="s">
        <v>1107</v>
      </c>
      <c r="N379" t="s">
        <v>1241</v>
      </c>
    </row>
    <row r="380" spans="1:14">
      <c r="A380" s="1" t="s">
        <v>2171</v>
      </c>
      <c r="B380" s="1" t="s">
        <v>2172</v>
      </c>
      <c r="C380" s="1" t="s">
        <v>1152</v>
      </c>
      <c r="D380" s="1" t="s">
        <v>1120</v>
      </c>
      <c r="E380" s="1" t="s">
        <v>1098</v>
      </c>
      <c r="F380" s="1" t="s">
        <v>1083</v>
      </c>
      <c r="G380" s="1" t="s">
        <v>1084</v>
      </c>
      <c r="H380">
        <v>32</v>
      </c>
      <c r="I380" t="s">
        <v>2173</v>
      </c>
      <c r="J380">
        <v>151758</v>
      </c>
      <c r="K380">
        <v>0.12</v>
      </c>
      <c r="L380" s="1" t="s">
        <v>1100</v>
      </c>
      <c r="M380" s="1" t="s">
        <v>1188</v>
      </c>
      <c r="N380" t="s">
        <v>1241</v>
      </c>
    </row>
    <row r="381" spans="1:14">
      <c r="A381" s="1" t="s">
        <v>2174</v>
      </c>
      <c r="B381" s="1" t="s">
        <v>2175</v>
      </c>
      <c r="C381" s="1" t="s">
        <v>1110</v>
      </c>
      <c r="D381" s="1" t="s">
        <v>1127</v>
      </c>
      <c r="E381" s="1" t="s">
        <v>1098</v>
      </c>
      <c r="F381" s="1" t="s">
        <v>1083</v>
      </c>
      <c r="G381" s="1" t="s">
        <v>1084</v>
      </c>
      <c r="H381">
        <v>33</v>
      </c>
      <c r="I381">
        <v>41495</v>
      </c>
      <c r="J381">
        <v>164340</v>
      </c>
      <c r="K381">
        <v>0.15</v>
      </c>
      <c r="L381" s="1" t="s">
        <v>1085</v>
      </c>
      <c r="M381" s="1" t="s">
        <v>1093</v>
      </c>
      <c r="N381" t="s">
        <v>1241</v>
      </c>
    </row>
    <row r="382" spans="1:14">
      <c r="A382" s="1" t="s">
        <v>2176</v>
      </c>
      <c r="B382" s="1" t="s">
        <v>2177</v>
      </c>
      <c r="C382" s="1" t="s">
        <v>1080</v>
      </c>
      <c r="D382" s="1" t="s">
        <v>1081</v>
      </c>
      <c r="E382" s="1" t="s">
        <v>1121</v>
      </c>
      <c r="F382" s="1" t="s">
        <v>1105</v>
      </c>
      <c r="G382" s="1" t="s">
        <v>1106</v>
      </c>
      <c r="H382">
        <v>42</v>
      </c>
      <c r="I382" t="s">
        <v>2178</v>
      </c>
      <c r="J382">
        <v>104916</v>
      </c>
      <c r="K382">
        <v>0</v>
      </c>
      <c r="L382" s="1" t="s">
        <v>1221</v>
      </c>
      <c r="M382" s="1" t="s">
        <v>1443</v>
      </c>
      <c r="N382" t="s">
        <v>1241</v>
      </c>
    </row>
    <row r="383" spans="1:14">
      <c r="A383" s="1" t="s">
        <v>2179</v>
      </c>
      <c r="B383" s="1" t="s">
        <v>2180</v>
      </c>
      <c r="C383" s="1" t="s">
        <v>1089</v>
      </c>
      <c r="D383" s="1" t="s">
        <v>1127</v>
      </c>
      <c r="E383" s="1" t="s">
        <v>1121</v>
      </c>
      <c r="F383" s="1" t="s">
        <v>1083</v>
      </c>
      <c r="G383" s="1" t="s">
        <v>1084</v>
      </c>
      <c r="H383">
        <v>60</v>
      </c>
      <c r="I383" t="s">
        <v>2181</v>
      </c>
      <c r="J383">
        <v>42536</v>
      </c>
      <c r="K383">
        <v>0</v>
      </c>
      <c r="L383" s="1" t="s">
        <v>1085</v>
      </c>
      <c r="M383" s="1" t="s">
        <v>1086</v>
      </c>
      <c r="N383" t="s">
        <v>1241</v>
      </c>
    </row>
    <row r="384" spans="1:14">
      <c r="A384" s="1" t="s">
        <v>2182</v>
      </c>
      <c r="B384" s="1" t="s">
        <v>2183</v>
      </c>
      <c r="C384" s="1" t="s">
        <v>1160</v>
      </c>
      <c r="D384" s="1" t="s">
        <v>1127</v>
      </c>
      <c r="E384" s="1" t="s">
        <v>1098</v>
      </c>
      <c r="F384" s="1" t="s">
        <v>1105</v>
      </c>
      <c r="G384" s="1" t="s">
        <v>1084</v>
      </c>
      <c r="H384">
        <v>51</v>
      </c>
      <c r="I384">
        <v>39937</v>
      </c>
      <c r="J384">
        <v>195171</v>
      </c>
      <c r="K384">
        <v>0.33</v>
      </c>
      <c r="L384" s="1" t="s">
        <v>1085</v>
      </c>
      <c r="M384" s="1" t="s">
        <v>1107</v>
      </c>
      <c r="N384" t="s">
        <v>1241</v>
      </c>
    </row>
    <row r="385" spans="1:14">
      <c r="A385" s="1" t="s">
        <v>2184</v>
      </c>
      <c r="B385" s="1" t="s">
        <v>2185</v>
      </c>
      <c r="C385" s="1" t="s">
        <v>1213</v>
      </c>
      <c r="D385" s="1" t="s">
        <v>1208</v>
      </c>
      <c r="E385" s="1" t="s">
        <v>1082</v>
      </c>
      <c r="F385" s="1" t="s">
        <v>1105</v>
      </c>
      <c r="G385" s="1" t="s">
        <v>1084</v>
      </c>
      <c r="H385">
        <v>50</v>
      </c>
      <c r="I385" t="s">
        <v>2186</v>
      </c>
      <c r="J385">
        <v>45290</v>
      </c>
      <c r="K385">
        <v>0</v>
      </c>
      <c r="L385" s="1" t="s">
        <v>1100</v>
      </c>
      <c r="M385" s="1" t="s">
        <v>1123</v>
      </c>
      <c r="N385">
        <v>44294</v>
      </c>
    </row>
    <row r="386" spans="1:14">
      <c r="A386" s="1" t="s">
        <v>2187</v>
      </c>
      <c r="B386" s="1" t="s">
        <v>2188</v>
      </c>
      <c r="C386" s="1" t="s">
        <v>1160</v>
      </c>
      <c r="D386" s="1" t="s">
        <v>1127</v>
      </c>
      <c r="E386" s="1" t="s">
        <v>1121</v>
      </c>
      <c r="F386" s="1" t="s">
        <v>1083</v>
      </c>
      <c r="G386" s="1" t="s">
        <v>1106</v>
      </c>
      <c r="H386">
        <v>50</v>
      </c>
      <c r="I386">
        <v>40129</v>
      </c>
      <c r="J386">
        <v>203306</v>
      </c>
      <c r="K386">
        <v>0.38</v>
      </c>
      <c r="L386" s="1" t="s">
        <v>1085</v>
      </c>
      <c r="M386" s="1" t="s">
        <v>1107</v>
      </c>
      <c r="N386" t="s">
        <v>1241</v>
      </c>
    </row>
    <row r="387" spans="1:14">
      <c r="A387" s="1" t="s">
        <v>2189</v>
      </c>
      <c r="B387" s="1" t="s">
        <v>2190</v>
      </c>
      <c r="C387" s="1" t="s">
        <v>1126</v>
      </c>
      <c r="D387" s="1" t="s">
        <v>1090</v>
      </c>
      <c r="E387" s="1" t="s">
        <v>1121</v>
      </c>
      <c r="F387" s="1" t="s">
        <v>1083</v>
      </c>
      <c r="G387" s="1" t="s">
        <v>1106</v>
      </c>
      <c r="H387">
        <v>26</v>
      </c>
      <c r="I387" t="s">
        <v>2191</v>
      </c>
      <c r="J387">
        <v>66865</v>
      </c>
      <c r="K387">
        <v>0</v>
      </c>
      <c r="L387" s="1" t="s">
        <v>1221</v>
      </c>
      <c r="M387" s="1" t="s">
        <v>1222</v>
      </c>
      <c r="N387" t="s">
        <v>1241</v>
      </c>
    </row>
    <row r="388" spans="1:14">
      <c r="A388" s="1" t="s">
        <v>2192</v>
      </c>
      <c r="B388" s="1" t="s">
        <v>2193</v>
      </c>
      <c r="C388" s="1" t="s">
        <v>1560</v>
      </c>
      <c r="D388" s="1" t="s">
        <v>1097</v>
      </c>
      <c r="E388" s="1" t="s">
        <v>1091</v>
      </c>
      <c r="F388" s="1" t="s">
        <v>1083</v>
      </c>
      <c r="G388" s="1" t="s">
        <v>1084</v>
      </c>
      <c r="H388">
        <v>30</v>
      </c>
      <c r="I388" t="s">
        <v>1624</v>
      </c>
      <c r="J388">
        <v>89164</v>
      </c>
      <c r="K388">
        <v>0</v>
      </c>
      <c r="L388" s="1" t="s">
        <v>1085</v>
      </c>
      <c r="M388" s="1" t="s">
        <v>1116</v>
      </c>
      <c r="N388" t="s">
        <v>1241</v>
      </c>
    </row>
    <row r="389" spans="1:14">
      <c r="A389" s="1" t="s">
        <v>2194</v>
      </c>
      <c r="B389" s="1" t="s">
        <v>2195</v>
      </c>
      <c r="C389" s="1" t="s">
        <v>1119</v>
      </c>
      <c r="D389" s="1" t="s">
        <v>1090</v>
      </c>
      <c r="E389" s="1" t="s">
        <v>1082</v>
      </c>
      <c r="F389" s="1" t="s">
        <v>1105</v>
      </c>
      <c r="G389" s="1" t="s">
        <v>1084</v>
      </c>
      <c r="H389">
        <v>35</v>
      </c>
      <c r="I389" t="s">
        <v>2196</v>
      </c>
      <c r="J389">
        <v>75602</v>
      </c>
      <c r="K389">
        <v>0</v>
      </c>
      <c r="L389" s="1" t="s">
        <v>1085</v>
      </c>
      <c r="M389" s="1" t="s">
        <v>1137</v>
      </c>
      <c r="N389" t="s">
        <v>1241</v>
      </c>
    </row>
    <row r="390" spans="1:14">
      <c r="A390" s="1" t="s">
        <v>2197</v>
      </c>
      <c r="B390" s="1" t="s">
        <v>2198</v>
      </c>
      <c r="C390" s="1" t="s">
        <v>1096</v>
      </c>
      <c r="D390" s="1" t="s">
        <v>1097</v>
      </c>
      <c r="E390" s="1" t="s">
        <v>1121</v>
      </c>
      <c r="F390" s="1" t="s">
        <v>1083</v>
      </c>
      <c r="G390" s="1" t="s">
        <v>1133</v>
      </c>
      <c r="H390">
        <v>44</v>
      </c>
      <c r="I390" t="s">
        <v>2199</v>
      </c>
      <c r="J390">
        <v>92939</v>
      </c>
      <c r="K390">
        <v>0</v>
      </c>
      <c r="L390" s="1" t="s">
        <v>1085</v>
      </c>
      <c r="M390" s="1" t="s">
        <v>1112</v>
      </c>
      <c r="N390" t="s">
        <v>1241</v>
      </c>
    </row>
    <row r="391" spans="1:14">
      <c r="A391" s="1" t="s">
        <v>2200</v>
      </c>
      <c r="B391" s="1" t="s">
        <v>2201</v>
      </c>
      <c r="C391" s="1" t="s">
        <v>1126</v>
      </c>
      <c r="D391" s="1" t="s">
        <v>1148</v>
      </c>
      <c r="E391" s="1" t="s">
        <v>1121</v>
      </c>
      <c r="F391" s="1" t="s">
        <v>1105</v>
      </c>
      <c r="G391" s="1" t="s">
        <v>1153</v>
      </c>
      <c r="H391">
        <v>26</v>
      </c>
      <c r="I391" t="s">
        <v>2202</v>
      </c>
      <c r="J391">
        <v>64278</v>
      </c>
      <c r="K391">
        <v>0</v>
      </c>
      <c r="L391" s="1" t="s">
        <v>1085</v>
      </c>
      <c r="M391" s="1" t="s">
        <v>1086</v>
      </c>
      <c r="N391" t="s">
        <v>1241</v>
      </c>
    </row>
    <row r="392" spans="1:14">
      <c r="A392" s="1" t="s">
        <v>2203</v>
      </c>
      <c r="B392" s="1" t="s">
        <v>2204</v>
      </c>
      <c r="C392" s="1" t="s">
        <v>1358</v>
      </c>
      <c r="D392" s="1" t="s">
        <v>1097</v>
      </c>
      <c r="E392" s="1" t="s">
        <v>1098</v>
      </c>
      <c r="F392" s="1" t="s">
        <v>1105</v>
      </c>
      <c r="G392" s="1" t="s">
        <v>1106</v>
      </c>
      <c r="H392">
        <v>44</v>
      </c>
      <c r="I392">
        <v>41374</v>
      </c>
      <c r="J392">
        <v>72176</v>
      </c>
      <c r="K392">
        <v>0</v>
      </c>
      <c r="L392" s="1" t="s">
        <v>1221</v>
      </c>
      <c r="M392" s="1" t="s">
        <v>1222</v>
      </c>
      <c r="N392" t="s">
        <v>1241</v>
      </c>
    </row>
    <row r="393" spans="1:14">
      <c r="A393" s="1" t="s">
        <v>2205</v>
      </c>
      <c r="B393" s="1" t="s">
        <v>2206</v>
      </c>
      <c r="C393" s="1" t="s">
        <v>1294</v>
      </c>
      <c r="D393" s="1" t="s">
        <v>1097</v>
      </c>
      <c r="E393" s="1" t="s">
        <v>1091</v>
      </c>
      <c r="F393" s="1" t="s">
        <v>1105</v>
      </c>
      <c r="G393" s="1" t="s">
        <v>1133</v>
      </c>
      <c r="H393">
        <v>61</v>
      </c>
      <c r="I393">
        <v>40300</v>
      </c>
      <c r="J393">
        <v>87758</v>
      </c>
      <c r="K393">
        <v>0.09</v>
      </c>
      <c r="L393" s="1" t="s">
        <v>1085</v>
      </c>
      <c r="M393" s="1" t="s">
        <v>1107</v>
      </c>
      <c r="N393" t="s">
        <v>1241</v>
      </c>
    </row>
    <row r="394" spans="1:14">
      <c r="A394" s="1" t="s">
        <v>2207</v>
      </c>
      <c r="B394" s="1" t="s">
        <v>2208</v>
      </c>
      <c r="C394" s="1" t="s">
        <v>1126</v>
      </c>
      <c r="D394" s="1" t="s">
        <v>1120</v>
      </c>
      <c r="E394" s="1" t="s">
        <v>1091</v>
      </c>
      <c r="F394" s="1" t="s">
        <v>1083</v>
      </c>
      <c r="G394" s="1" t="s">
        <v>1084</v>
      </c>
      <c r="H394">
        <v>50</v>
      </c>
      <c r="I394">
        <v>37262</v>
      </c>
      <c r="J394">
        <v>54646</v>
      </c>
      <c r="K394">
        <v>0</v>
      </c>
      <c r="L394" s="1" t="s">
        <v>1085</v>
      </c>
      <c r="M394" s="1" t="s">
        <v>1107</v>
      </c>
      <c r="N394" t="s">
        <v>1241</v>
      </c>
    </row>
    <row r="395" spans="1:14">
      <c r="A395" s="1" t="s">
        <v>2209</v>
      </c>
      <c r="B395" s="1" t="s">
        <v>2210</v>
      </c>
      <c r="C395" s="1" t="s">
        <v>1384</v>
      </c>
      <c r="D395" s="1" t="s">
        <v>1208</v>
      </c>
      <c r="E395" s="1" t="s">
        <v>1091</v>
      </c>
      <c r="F395" s="1" t="s">
        <v>1083</v>
      </c>
      <c r="G395" s="1" t="s">
        <v>1106</v>
      </c>
      <c r="H395">
        <v>61</v>
      </c>
      <c r="I395" t="s">
        <v>2211</v>
      </c>
      <c r="J395">
        <v>73323</v>
      </c>
      <c r="K395">
        <v>0</v>
      </c>
      <c r="L395" s="1" t="s">
        <v>1085</v>
      </c>
      <c r="M395" s="1" t="s">
        <v>1112</v>
      </c>
      <c r="N395" t="s">
        <v>1241</v>
      </c>
    </row>
    <row r="396" spans="1:14">
      <c r="A396" s="1" t="s">
        <v>2212</v>
      </c>
      <c r="B396" s="1" t="s">
        <v>2213</v>
      </c>
      <c r="C396" s="1" t="s">
        <v>1110</v>
      </c>
      <c r="D396" s="1" t="s">
        <v>1148</v>
      </c>
      <c r="E396" s="1" t="s">
        <v>1121</v>
      </c>
      <c r="F396" s="1" t="s">
        <v>1105</v>
      </c>
      <c r="G396" s="1" t="s">
        <v>1133</v>
      </c>
      <c r="H396">
        <v>29</v>
      </c>
      <c r="I396">
        <v>44378</v>
      </c>
      <c r="J396">
        <v>151492</v>
      </c>
      <c r="K396">
        <v>0.21</v>
      </c>
      <c r="L396" s="1" t="s">
        <v>1085</v>
      </c>
      <c r="M396" s="1" t="s">
        <v>1086</v>
      </c>
      <c r="N396" t="s">
        <v>1241</v>
      </c>
    </row>
    <row r="397" spans="1:14">
      <c r="A397" s="1" t="s">
        <v>2214</v>
      </c>
      <c r="B397" s="1" t="s">
        <v>2215</v>
      </c>
      <c r="C397" s="1" t="s">
        <v>1152</v>
      </c>
      <c r="D397" s="1" t="s">
        <v>1127</v>
      </c>
      <c r="E397" s="1" t="s">
        <v>1091</v>
      </c>
      <c r="F397" s="1" t="s">
        <v>1083</v>
      </c>
      <c r="G397" s="1" t="s">
        <v>1106</v>
      </c>
      <c r="H397">
        <v>42</v>
      </c>
      <c r="I397" t="s">
        <v>2216</v>
      </c>
      <c r="J397">
        <v>138215</v>
      </c>
      <c r="K397">
        <v>0.12</v>
      </c>
      <c r="L397" s="1" t="s">
        <v>1221</v>
      </c>
      <c r="M397" s="1" t="s">
        <v>1443</v>
      </c>
      <c r="N397" t="s">
        <v>1241</v>
      </c>
    </row>
    <row r="398" spans="1:14">
      <c r="A398" s="1" t="s">
        <v>2217</v>
      </c>
      <c r="B398" s="1" t="s">
        <v>2218</v>
      </c>
      <c r="C398" s="1" t="s">
        <v>1152</v>
      </c>
      <c r="D398" s="1" t="s">
        <v>1127</v>
      </c>
      <c r="E398" s="1" t="s">
        <v>1121</v>
      </c>
      <c r="F398" s="1" t="s">
        <v>1105</v>
      </c>
      <c r="G398" s="1" t="s">
        <v>1153</v>
      </c>
      <c r="H398">
        <v>51</v>
      </c>
      <c r="I398">
        <v>41340</v>
      </c>
      <c r="J398">
        <v>135578</v>
      </c>
      <c r="K398">
        <v>0.1</v>
      </c>
      <c r="L398" s="1" t="s">
        <v>1085</v>
      </c>
      <c r="M398" s="1" t="s">
        <v>1137</v>
      </c>
      <c r="N398">
        <v>43258</v>
      </c>
    </row>
    <row r="399" spans="1:14">
      <c r="A399" s="1" t="s">
        <v>2219</v>
      </c>
      <c r="B399" s="1" t="s">
        <v>2220</v>
      </c>
      <c r="C399" s="1" t="s">
        <v>1216</v>
      </c>
      <c r="D399" s="1" t="s">
        <v>1081</v>
      </c>
      <c r="E399" s="1" t="s">
        <v>1098</v>
      </c>
      <c r="F399" s="1" t="s">
        <v>1105</v>
      </c>
      <c r="G399" s="1" t="s">
        <v>1106</v>
      </c>
      <c r="H399">
        <v>27</v>
      </c>
      <c r="I399">
        <v>43508</v>
      </c>
      <c r="J399">
        <v>64297</v>
      </c>
      <c r="K399">
        <v>0</v>
      </c>
      <c r="L399" s="1" t="s">
        <v>1221</v>
      </c>
      <c r="M399" s="1" t="s">
        <v>1443</v>
      </c>
      <c r="N399" t="s">
        <v>1241</v>
      </c>
    </row>
    <row r="400" spans="1:14">
      <c r="A400" s="1" t="s">
        <v>2221</v>
      </c>
      <c r="B400" s="1" t="s">
        <v>2222</v>
      </c>
      <c r="C400" s="1" t="s">
        <v>1594</v>
      </c>
      <c r="D400" s="1" t="s">
        <v>1081</v>
      </c>
      <c r="E400" s="1" t="s">
        <v>1091</v>
      </c>
      <c r="F400" s="1" t="s">
        <v>1083</v>
      </c>
      <c r="G400" s="1" t="s">
        <v>1133</v>
      </c>
      <c r="H400">
        <v>52</v>
      </c>
      <c r="I400" t="s">
        <v>2223</v>
      </c>
      <c r="J400">
        <v>94857</v>
      </c>
      <c r="K400">
        <v>0</v>
      </c>
      <c r="L400" s="1" t="s">
        <v>1085</v>
      </c>
      <c r="M400" s="1" t="s">
        <v>1137</v>
      </c>
      <c r="N400">
        <v>45262</v>
      </c>
    </row>
    <row r="401" spans="1:14">
      <c r="A401" s="1" t="s">
        <v>2224</v>
      </c>
      <c r="B401" s="1" t="s">
        <v>2225</v>
      </c>
      <c r="C401" s="1" t="s">
        <v>1594</v>
      </c>
      <c r="D401" s="1" t="s">
        <v>1081</v>
      </c>
      <c r="E401" s="1" t="s">
        <v>1098</v>
      </c>
      <c r="F401" s="1" t="s">
        <v>1083</v>
      </c>
      <c r="G401" s="1" t="s">
        <v>1084</v>
      </c>
      <c r="H401">
        <v>58</v>
      </c>
      <c r="I401" t="s">
        <v>2226</v>
      </c>
      <c r="J401">
        <v>77196</v>
      </c>
      <c r="K401">
        <v>0</v>
      </c>
      <c r="L401" s="1" t="s">
        <v>1085</v>
      </c>
      <c r="M401" s="1" t="s">
        <v>1112</v>
      </c>
      <c r="N401" t="s">
        <v>1241</v>
      </c>
    </row>
    <row r="402" spans="1:14">
      <c r="A402" s="1" t="s">
        <v>2227</v>
      </c>
      <c r="B402" s="1" t="s">
        <v>2228</v>
      </c>
      <c r="C402" s="1" t="s">
        <v>1110</v>
      </c>
      <c r="D402" s="1" t="s">
        <v>1090</v>
      </c>
      <c r="E402" s="1" t="s">
        <v>1098</v>
      </c>
      <c r="F402" s="1" t="s">
        <v>1105</v>
      </c>
      <c r="G402" s="1" t="s">
        <v>1106</v>
      </c>
      <c r="H402">
        <v>45</v>
      </c>
      <c r="I402" t="s">
        <v>2229</v>
      </c>
      <c r="J402">
        <v>193154</v>
      </c>
      <c r="K402">
        <v>0.18</v>
      </c>
      <c r="L402" s="1" t="s">
        <v>1221</v>
      </c>
      <c r="M402" s="1" t="s">
        <v>1298</v>
      </c>
      <c r="N402" t="s">
        <v>1241</v>
      </c>
    </row>
    <row r="403" spans="1:14">
      <c r="A403" s="1" t="s">
        <v>2230</v>
      </c>
      <c r="B403" s="1" t="s">
        <v>2231</v>
      </c>
      <c r="C403" s="1" t="s">
        <v>1136</v>
      </c>
      <c r="D403" s="1" t="s">
        <v>1208</v>
      </c>
      <c r="E403" s="1" t="s">
        <v>1121</v>
      </c>
      <c r="F403" s="1" t="s">
        <v>1083</v>
      </c>
      <c r="G403" s="1" t="s">
        <v>1153</v>
      </c>
      <c r="H403">
        <v>28</v>
      </c>
      <c r="I403" t="s">
        <v>2232</v>
      </c>
      <c r="J403">
        <v>115916</v>
      </c>
      <c r="K403">
        <v>0.09</v>
      </c>
      <c r="L403" s="1" t="s">
        <v>1085</v>
      </c>
      <c r="M403" s="1" t="s">
        <v>1093</v>
      </c>
      <c r="N403" t="s">
        <v>1241</v>
      </c>
    </row>
    <row r="404" spans="1:14">
      <c r="A404" s="1" t="s">
        <v>2233</v>
      </c>
      <c r="B404" s="1" t="s">
        <v>2234</v>
      </c>
      <c r="C404" s="1" t="s">
        <v>1160</v>
      </c>
      <c r="D404" s="1" t="s">
        <v>1120</v>
      </c>
      <c r="E404" s="1" t="s">
        <v>1082</v>
      </c>
      <c r="F404" s="1" t="s">
        <v>1083</v>
      </c>
      <c r="G404" s="1" t="s">
        <v>1133</v>
      </c>
      <c r="H404">
        <v>56</v>
      </c>
      <c r="I404" t="s">
        <v>2235</v>
      </c>
      <c r="J404">
        <v>192374</v>
      </c>
      <c r="K404">
        <v>0.3</v>
      </c>
      <c r="L404" s="1" t="s">
        <v>1085</v>
      </c>
      <c r="M404" s="1" t="s">
        <v>1093</v>
      </c>
      <c r="N404" t="s">
        <v>1241</v>
      </c>
    </row>
    <row r="405" spans="1:14">
      <c r="A405" s="1" t="s">
        <v>2236</v>
      </c>
      <c r="B405" s="1" t="s">
        <v>2237</v>
      </c>
      <c r="C405" s="1" t="s">
        <v>1110</v>
      </c>
      <c r="D405" s="1" t="s">
        <v>1208</v>
      </c>
      <c r="E405" s="1" t="s">
        <v>1121</v>
      </c>
      <c r="F405" s="1" t="s">
        <v>1083</v>
      </c>
      <c r="G405" s="1" t="s">
        <v>1133</v>
      </c>
      <c r="H405">
        <v>32</v>
      </c>
      <c r="I405" t="s">
        <v>2238</v>
      </c>
      <c r="J405">
        <v>186869</v>
      </c>
      <c r="K405">
        <v>0.16</v>
      </c>
      <c r="L405" s="1" t="s">
        <v>1085</v>
      </c>
      <c r="M405" s="1" t="s">
        <v>1137</v>
      </c>
      <c r="N405" t="s">
        <v>1241</v>
      </c>
    </row>
    <row r="406" spans="1:14">
      <c r="A406" s="1" t="s">
        <v>2239</v>
      </c>
      <c r="B406" s="1" t="s">
        <v>2240</v>
      </c>
      <c r="C406" s="1" t="s">
        <v>1213</v>
      </c>
      <c r="D406" s="1" t="s">
        <v>1208</v>
      </c>
      <c r="E406" s="1" t="s">
        <v>1082</v>
      </c>
      <c r="F406" s="1" t="s">
        <v>1105</v>
      </c>
      <c r="G406" s="1" t="s">
        <v>1106</v>
      </c>
      <c r="H406">
        <v>58</v>
      </c>
      <c r="I406">
        <v>34278</v>
      </c>
      <c r="J406">
        <v>49293</v>
      </c>
      <c r="K406">
        <v>0</v>
      </c>
      <c r="L406" s="1" t="s">
        <v>1085</v>
      </c>
      <c r="M406" s="1" t="s">
        <v>1086</v>
      </c>
      <c r="N406" t="s">
        <v>1241</v>
      </c>
    </row>
    <row r="407" spans="1:14">
      <c r="A407" s="1" t="s">
        <v>2241</v>
      </c>
      <c r="B407" s="1" t="s">
        <v>2242</v>
      </c>
      <c r="C407" s="1" t="s">
        <v>1136</v>
      </c>
      <c r="D407" s="1" t="s">
        <v>1208</v>
      </c>
      <c r="E407" s="1" t="s">
        <v>1098</v>
      </c>
      <c r="F407" s="1" t="s">
        <v>1105</v>
      </c>
      <c r="G407" s="1" t="s">
        <v>1133</v>
      </c>
      <c r="H407">
        <v>39</v>
      </c>
      <c r="I407" t="s">
        <v>2243</v>
      </c>
      <c r="J407">
        <v>129087</v>
      </c>
      <c r="K407">
        <v>0.05</v>
      </c>
      <c r="L407" s="1" t="s">
        <v>1085</v>
      </c>
      <c r="M407" s="1" t="s">
        <v>1107</v>
      </c>
      <c r="N407" t="s">
        <v>1241</v>
      </c>
    </row>
    <row r="408" spans="1:14">
      <c r="A408" s="1" t="s">
        <v>2244</v>
      </c>
      <c r="B408" s="1" t="s">
        <v>2245</v>
      </c>
      <c r="C408" s="1" t="s">
        <v>1089</v>
      </c>
      <c r="D408" s="1" t="s">
        <v>1127</v>
      </c>
      <c r="E408" s="1" t="s">
        <v>1098</v>
      </c>
      <c r="F408" s="1" t="s">
        <v>1105</v>
      </c>
      <c r="G408" s="1" t="s">
        <v>1106</v>
      </c>
      <c r="H408">
        <v>46</v>
      </c>
      <c r="I408" t="s">
        <v>2246</v>
      </c>
      <c r="J408">
        <v>54831</v>
      </c>
      <c r="K408">
        <v>0</v>
      </c>
      <c r="L408" s="1" t="s">
        <v>1221</v>
      </c>
      <c r="M408" s="1" t="s">
        <v>1298</v>
      </c>
      <c r="N408" t="s">
        <v>1241</v>
      </c>
    </row>
    <row r="409" spans="1:14">
      <c r="A409" s="1" t="s">
        <v>2247</v>
      </c>
      <c r="B409" s="1" t="s">
        <v>2248</v>
      </c>
      <c r="C409" s="1" t="s">
        <v>1089</v>
      </c>
      <c r="D409" s="1" t="s">
        <v>1148</v>
      </c>
      <c r="E409" s="1" t="s">
        <v>1121</v>
      </c>
      <c r="F409" s="1" t="s">
        <v>1105</v>
      </c>
      <c r="G409" s="1" t="s">
        <v>1084</v>
      </c>
      <c r="H409">
        <v>26</v>
      </c>
      <c r="I409" t="s">
        <v>2249</v>
      </c>
      <c r="J409">
        <v>51825</v>
      </c>
      <c r="K409">
        <v>0</v>
      </c>
      <c r="L409" s="1" t="s">
        <v>1085</v>
      </c>
      <c r="M409" s="1" t="s">
        <v>1116</v>
      </c>
      <c r="N409" t="s">
        <v>1241</v>
      </c>
    </row>
    <row r="410" spans="1:14">
      <c r="A410" s="1" t="s">
        <v>2250</v>
      </c>
      <c r="B410" s="1" t="s">
        <v>2251</v>
      </c>
      <c r="C410" s="1" t="s">
        <v>1446</v>
      </c>
      <c r="D410" s="1" t="s">
        <v>1081</v>
      </c>
      <c r="E410" s="1" t="s">
        <v>1082</v>
      </c>
      <c r="F410" s="1" t="s">
        <v>1105</v>
      </c>
      <c r="G410" s="1" t="s">
        <v>1084</v>
      </c>
      <c r="H410">
        <v>36</v>
      </c>
      <c r="I410" t="s">
        <v>2252</v>
      </c>
      <c r="J410">
        <v>67457</v>
      </c>
      <c r="K410">
        <v>0</v>
      </c>
      <c r="L410" s="1" t="s">
        <v>1100</v>
      </c>
      <c r="M410" s="1" t="s">
        <v>1101</v>
      </c>
      <c r="N410" t="s">
        <v>1241</v>
      </c>
    </row>
    <row r="411" spans="1:14">
      <c r="A411" s="1" t="s">
        <v>2253</v>
      </c>
      <c r="B411" s="1" t="s">
        <v>2254</v>
      </c>
      <c r="C411" s="1" t="s">
        <v>1275</v>
      </c>
      <c r="D411" s="1" t="s">
        <v>1097</v>
      </c>
      <c r="E411" s="1" t="s">
        <v>1091</v>
      </c>
      <c r="F411" s="1" t="s">
        <v>1083</v>
      </c>
      <c r="G411" s="1" t="s">
        <v>1084</v>
      </c>
      <c r="H411">
        <v>43</v>
      </c>
      <c r="I411" t="s">
        <v>2255</v>
      </c>
      <c r="J411">
        <v>94555</v>
      </c>
      <c r="K411">
        <v>0</v>
      </c>
      <c r="L411" s="1" t="s">
        <v>1085</v>
      </c>
      <c r="M411" s="1" t="s">
        <v>1112</v>
      </c>
      <c r="N411" t="s">
        <v>1241</v>
      </c>
    </row>
    <row r="412" spans="1:14">
      <c r="A412" s="1" t="s">
        <v>2256</v>
      </c>
      <c r="B412" s="1" t="s">
        <v>2257</v>
      </c>
      <c r="C412" s="1" t="s">
        <v>1110</v>
      </c>
      <c r="D412" s="1" t="s">
        <v>1208</v>
      </c>
      <c r="E412" s="1" t="s">
        <v>1091</v>
      </c>
      <c r="F412" s="1" t="s">
        <v>1105</v>
      </c>
      <c r="G412" s="1" t="s">
        <v>1084</v>
      </c>
      <c r="H412">
        <v>45</v>
      </c>
      <c r="I412" t="s">
        <v>2258</v>
      </c>
      <c r="J412">
        <v>163686</v>
      </c>
      <c r="K412">
        <v>0.25</v>
      </c>
      <c r="L412" s="1" t="s">
        <v>1100</v>
      </c>
      <c r="M412" s="1" t="s">
        <v>1129</v>
      </c>
      <c r="N412" t="s">
        <v>1241</v>
      </c>
    </row>
    <row r="413" spans="1:14">
      <c r="A413" s="1" t="s">
        <v>2259</v>
      </c>
      <c r="B413" s="1" t="s">
        <v>2260</v>
      </c>
      <c r="C413" s="1" t="s">
        <v>1140</v>
      </c>
      <c r="D413" s="1" t="s">
        <v>1097</v>
      </c>
      <c r="E413" s="1" t="s">
        <v>1091</v>
      </c>
      <c r="F413" s="1" t="s">
        <v>1105</v>
      </c>
      <c r="G413" s="1" t="s">
        <v>1084</v>
      </c>
      <c r="H413">
        <v>65</v>
      </c>
      <c r="I413" t="s">
        <v>2261</v>
      </c>
      <c r="J413">
        <v>47919</v>
      </c>
      <c r="K413">
        <v>0</v>
      </c>
      <c r="L413" s="1" t="s">
        <v>1100</v>
      </c>
      <c r="M413" s="1" t="s">
        <v>1188</v>
      </c>
      <c r="N413" t="s">
        <v>1241</v>
      </c>
    </row>
    <row r="414" spans="1:14">
      <c r="A414" s="1" t="s">
        <v>2262</v>
      </c>
      <c r="B414" s="1" t="s">
        <v>2263</v>
      </c>
      <c r="C414" s="1" t="s">
        <v>1285</v>
      </c>
      <c r="D414" s="1" t="s">
        <v>1097</v>
      </c>
      <c r="E414" s="1" t="s">
        <v>1082</v>
      </c>
      <c r="F414" s="1" t="s">
        <v>1083</v>
      </c>
      <c r="G414" s="1" t="s">
        <v>1133</v>
      </c>
      <c r="H414">
        <v>34</v>
      </c>
      <c r="I414" t="s">
        <v>2264</v>
      </c>
      <c r="J414">
        <v>68972</v>
      </c>
      <c r="K414">
        <v>0</v>
      </c>
      <c r="L414" s="1" t="s">
        <v>1085</v>
      </c>
      <c r="M414" s="1" t="s">
        <v>1112</v>
      </c>
      <c r="N414" t="s">
        <v>2265</v>
      </c>
    </row>
    <row r="415" spans="1:14">
      <c r="A415" s="1" t="s">
        <v>2266</v>
      </c>
      <c r="B415" s="1" t="s">
        <v>2267</v>
      </c>
      <c r="C415" s="1" t="s">
        <v>1089</v>
      </c>
      <c r="D415" s="1" t="s">
        <v>1090</v>
      </c>
      <c r="E415" s="1" t="s">
        <v>1082</v>
      </c>
      <c r="F415" s="1" t="s">
        <v>1083</v>
      </c>
      <c r="G415" s="1" t="s">
        <v>1133</v>
      </c>
      <c r="H415">
        <v>52</v>
      </c>
      <c r="I415">
        <v>37260</v>
      </c>
      <c r="J415">
        <v>50775</v>
      </c>
      <c r="K415">
        <v>0</v>
      </c>
      <c r="L415" s="1" t="s">
        <v>1085</v>
      </c>
      <c r="M415" s="1" t="s">
        <v>1107</v>
      </c>
      <c r="N415" t="s">
        <v>1241</v>
      </c>
    </row>
    <row r="416" spans="1:14">
      <c r="A416" s="1" t="s">
        <v>2268</v>
      </c>
      <c r="B416" s="1" t="s">
        <v>2269</v>
      </c>
      <c r="C416" s="1" t="s">
        <v>1152</v>
      </c>
      <c r="D416" s="1" t="s">
        <v>1148</v>
      </c>
      <c r="E416" s="1" t="s">
        <v>1091</v>
      </c>
      <c r="F416" s="1" t="s">
        <v>1105</v>
      </c>
      <c r="G416" s="1" t="s">
        <v>1106</v>
      </c>
      <c r="H416">
        <v>39</v>
      </c>
      <c r="I416">
        <v>41610</v>
      </c>
      <c r="J416">
        <v>122713</v>
      </c>
      <c r="K416">
        <v>0.13</v>
      </c>
      <c r="L416" s="1" t="s">
        <v>1221</v>
      </c>
      <c r="M416" s="1" t="s">
        <v>1298</v>
      </c>
      <c r="N416" t="s">
        <v>1241</v>
      </c>
    </row>
    <row r="417" spans="1:14">
      <c r="A417" s="1" t="s">
        <v>2270</v>
      </c>
      <c r="B417" s="1" t="s">
        <v>2271</v>
      </c>
      <c r="C417" s="1" t="s">
        <v>1126</v>
      </c>
      <c r="D417" s="1" t="s">
        <v>1120</v>
      </c>
      <c r="E417" s="1" t="s">
        <v>1091</v>
      </c>
      <c r="F417" s="1" t="s">
        <v>1105</v>
      </c>
      <c r="G417" s="1" t="s">
        <v>1084</v>
      </c>
      <c r="H417">
        <v>57</v>
      </c>
      <c r="I417" t="s">
        <v>2272</v>
      </c>
      <c r="J417">
        <v>57230</v>
      </c>
      <c r="K417">
        <v>0</v>
      </c>
      <c r="L417" s="1" t="s">
        <v>1085</v>
      </c>
      <c r="M417" s="1" t="s">
        <v>1112</v>
      </c>
      <c r="N417" t="s">
        <v>1241</v>
      </c>
    </row>
    <row r="418" spans="1:14">
      <c r="A418" s="1" t="s">
        <v>2273</v>
      </c>
      <c r="B418" s="1" t="s">
        <v>2274</v>
      </c>
      <c r="C418" s="1" t="s">
        <v>1152</v>
      </c>
      <c r="D418" s="1" t="s">
        <v>1148</v>
      </c>
      <c r="E418" s="1" t="s">
        <v>1121</v>
      </c>
      <c r="F418" s="1" t="s">
        <v>1083</v>
      </c>
      <c r="G418" s="1" t="s">
        <v>1106</v>
      </c>
      <c r="H418">
        <v>63</v>
      </c>
      <c r="I418" t="s">
        <v>2275</v>
      </c>
      <c r="J418">
        <v>148794</v>
      </c>
      <c r="K418">
        <v>0.1</v>
      </c>
      <c r="L418" s="1" t="s">
        <v>1221</v>
      </c>
      <c r="M418" s="1" t="s">
        <v>1443</v>
      </c>
      <c r="N418" t="s">
        <v>1241</v>
      </c>
    </row>
    <row r="419" spans="1:14">
      <c r="A419" s="1" t="s">
        <v>2276</v>
      </c>
      <c r="B419" s="1" t="s">
        <v>2277</v>
      </c>
      <c r="C419" s="1" t="s">
        <v>1152</v>
      </c>
      <c r="D419" s="1" t="s">
        <v>1148</v>
      </c>
      <c r="E419" s="1" t="s">
        <v>1098</v>
      </c>
      <c r="F419" s="1" t="s">
        <v>1105</v>
      </c>
      <c r="G419" s="1" t="s">
        <v>1084</v>
      </c>
      <c r="H419">
        <v>32</v>
      </c>
      <c r="I419" t="s">
        <v>2278</v>
      </c>
      <c r="J419">
        <v>155884</v>
      </c>
      <c r="K419">
        <v>0.13</v>
      </c>
      <c r="L419" s="1" t="s">
        <v>1085</v>
      </c>
      <c r="M419" s="1" t="s">
        <v>1137</v>
      </c>
      <c r="N419" t="s">
        <v>1241</v>
      </c>
    </row>
    <row r="420" spans="1:14">
      <c r="A420" s="1" t="s">
        <v>2279</v>
      </c>
      <c r="B420" s="1" t="s">
        <v>2280</v>
      </c>
      <c r="C420" s="1" t="s">
        <v>1177</v>
      </c>
      <c r="D420" s="1" t="s">
        <v>1090</v>
      </c>
      <c r="E420" s="1" t="s">
        <v>1098</v>
      </c>
      <c r="F420" s="1" t="s">
        <v>1105</v>
      </c>
      <c r="G420" s="1" t="s">
        <v>1084</v>
      </c>
      <c r="H420">
        <v>51</v>
      </c>
      <c r="I420">
        <v>43230</v>
      </c>
      <c r="J420">
        <v>50975</v>
      </c>
      <c r="K420">
        <v>0</v>
      </c>
      <c r="L420" s="1" t="s">
        <v>1100</v>
      </c>
      <c r="M420" s="1" t="s">
        <v>1129</v>
      </c>
      <c r="N420" t="s">
        <v>1241</v>
      </c>
    </row>
    <row r="421" spans="1:14">
      <c r="A421" s="1" t="s">
        <v>2281</v>
      </c>
      <c r="B421" s="1" t="s">
        <v>2282</v>
      </c>
      <c r="C421" s="1" t="s">
        <v>1089</v>
      </c>
      <c r="D421" s="1" t="s">
        <v>1120</v>
      </c>
      <c r="E421" s="1" t="s">
        <v>1098</v>
      </c>
      <c r="F421" s="1" t="s">
        <v>1083</v>
      </c>
      <c r="G421" s="1" t="s">
        <v>1153</v>
      </c>
      <c r="H421">
        <v>38</v>
      </c>
      <c r="I421" t="s">
        <v>1970</v>
      </c>
      <c r="J421">
        <v>52200</v>
      </c>
      <c r="K421">
        <v>0</v>
      </c>
      <c r="L421" s="1" t="s">
        <v>1085</v>
      </c>
      <c r="M421" s="1" t="s">
        <v>1116</v>
      </c>
      <c r="N421" t="s">
        <v>1241</v>
      </c>
    </row>
    <row r="422" spans="1:14">
      <c r="A422" s="1" t="s">
        <v>2283</v>
      </c>
      <c r="B422" s="1" t="s">
        <v>2284</v>
      </c>
      <c r="C422" s="1" t="s">
        <v>1110</v>
      </c>
      <c r="D422" s="1" t="s">
        <v>1127</v>
      </c>
      <c r="E422" s="1" t="s">
        <v>1098</v>
      </c>
      <c r="F422" s="1" t="s">
        <v>1083</v>
      </c>
      <c r="G422" s="1" t="s">
        <v>1084</v>
      </c>
      <c r="H422">
        <v>53</v>
      </c>
      <c r="I422" t="s">
        <v>2285</v>
      </c>
      <c r="J422">
        <v>154141</v>
      </c>
      <c r="K422">
        <v>0.26</v>
      </c>
      <c r="L422" s="1" t="s">
        <v>1100</v>
      </c>
      <c r="M422" s="1" t="s">
        <v>1123</v>
      </c>
      <c r="N422" t="s">
        <v>1241</v>
      </c>
    </row>
    <row r="423" spans="1:14">
      <c r="A423" s="1" t="s">
        <v>2286</v>
      </c>
      <c r="B423" s="1" t="s">
        <v>2287</v>
      </c>
      <c r="C423" s="1" t="s">
        <v>1446</v>
      </c>
      <c r="D423" s="1" t="s">
        <v>1081</v>
      </c>
      <c r="E423" s="1" t="s">
        <v>1121</v>
      </c>
      <c r="F423" s="1" t="s">
        <v>1105</v>
      </c>
      <c r="G423" s="1" t="s">
        <v>1106</v>
      </c>
      <c r="H423">
        <v>59</v>
      </c>
      <c r="I423" t="s">
        <v>2288</v>
      </c>
      <c r="J423">
        <v>69245</v>
      </c>
      <c r="K423">
        <v>0</v>
      </c>
      <c r="L423" s="1" t="s">
        <v>1085</v>
      </c>
      <c r="M423" s="1" t="s">
        <v>1116</v>
      </c>
      <c r="N423" t="s">
        <v>1241</v>
      </c>
    </row>
    <row r="424" spans="1:14">
      <c r="A424" s="1" t="s">
        <v>2289</v>
      </c>
      <c r="B424" s="1" t="s">
        <v>2290</v>
      </c>
      <c r="C424" s="1" t="s">
        <v>1446</v>
      </c>
      <c r="D424" s="1" t="s">
        <v>1081</v>
      </c>
      <c r="E424" s="1" t="s">
        <v>1121</v>
      </c>
      <c r="F424" s="1" t="s">
        <v>1083</v>
      </c>
      <c r="G424" s="1" t="s">
        <v>1133</v>
      </c>
      <c r="H424">
        <v>57</v>
      </c>
      <c r="I424">
        <v>36195</v>
      </c>
      <c r="J424">
        <v>78212</v>
      </c>
      <c r="K424">
        <v>0</v>
      </c>
      <c r="L424" s="1" t="s">
        <v>1085</v>
      </c>
      <c r="M424" s="1" t="s">
        <v>1137</v>
      </c>
      <c r="N424">
        <v>40307</v>
      </c>
    </row>
    <row r="425" spans="1:14">
      <c r="A425" s="1" t="s">
        <v>2291</v>
      </c>
      <c r="B425" s="1" t="s">
        <v>2292</v>
      </c>
      <c r="C425" s="1" t="s">
        <v>1119</v>
      </c>
      <c r="D425" s="1" t="s">
        <v>1120</v>
      </c>
      <c r="E425" s="1" t="s">
        <v>1091</v>
      </c>
      <c r="F425" s="1" t="s">
        <v>1083</v>
      </c>
      <c r="G425" s="1" t="s">
        <v>1133</v>
      </c>
      <c r="H425">
        <v>41</v>
      </c>
      <c r="I425">
        <v>43656</v>
      </c>
      <c r="J425">
        <v>72650</v>
      </c>
      <c r="K425">
        <v>0</v>
      </c>
      <c r="L425" s="1" t="s">
        <v>1085</v>
      </c>
      <c r="M425" s="1" t="s">
        <v>1112</v>
      </c>
      <c r="N425" t="s">
        <v>2293</v>
      </c>
    </row>
    <row r="426" spans="1:14">
      <c r="A426" s="1" t="s">
        <v>2294</v>
      </c>
      <c r="B426" s="1" t="s">
        <v>2295</v>
      </c>
      <c r="C426" s="1" t="s">
        <v>1318</v>
      </c>
      <c r="D426" s="1" t="s">
        <v>1081</v>
      </c>
      <c r="E426" s="1" t="s">
        <v>1098</v>
      </c>
      <c r="F426" s="1" t="s">
        <v>1105</v>
      </c>
      <c r="G426" s="1" t="s">
        <v>1133</v>
      </c>
      <c r="H426">
        <v>33</v>
      </c>
      <c r="I426">
        <v>44115</v>
      </c>
      <c r="J426">
        <v>124681</v>
      </c>
      <c r="K426">
        <v>0</v>
      </c>
      <c r="L426" s="1" t="s">
        <v>1085</v>
      </c>
      <c r="M426" s="1" t="s">
        <v>1116</v>
      </c>
      <c r="N426" t="s">
        <v>1241</v>
      </c>
    </row>
    <row r="427" spans="1:14">
      <c r="A427" s="1" t="s">
        <v>2296</v>
      </c>
      <c r="B427" s="1" t="s">
        <v>2297</v>
      </c>
      <c r="C427" s="1" t="s">
        <v>1096</v>
      </c>
      <c r="D427" s="1" t="s">
        <v>1097</v>
      </c>
      <c r="E427" s="1" t="s">
        <v>1098</v>
      </c>
      <c r="F427" s="1" t="s">
        <v>1083</v>
      </c>
      <c r="G427" s="1" t="s">
        <v>1153</v>
      </c>
      <c r="H427">
        <v>35</v>
      </c>
      <c r="I427" t="s">
        <v>2298</v>
      </c>
      <c r="J427">
        <v>89051</v>
      </c>
      <c r="K427">
        <v>0</v>
      </c>
      <c r="L427" s="1" t="s">
        <v>1085</v>
      </c>
      <c r="M427" s="1" t="s">
        <v>1093</v>
      </c>
      <c r="N427" t="s">
        <v>1241</v>
      </c>
    </row>
    <row r="428" spans="1:14">
      <c r="A428" s="1" t="s">
        <v>2299</v>
      </c>
      <c r="B428" s="1" t="s">
        <v>2300</v>
      </c>
      <c r="C428" s="1" t="s">
        <v>1318</v>
      </c>
      <c r="D428" s="1" t="s">
        <v>1081</v>
      </c>
      <c r="E428" s="1" t="s">
        <v>1098</v>
      </c>
      <c r="F428" s="1" t="s">
        <v>1083</v>
      </c>
      <c r="G428" s="1" t="s">
        <v>1084</v>
      </c>
      <c r="H428">
        <v>36</v>
      </c>
      <c r="I428">
        <v>43508</v>
      </c>
      <c r="J428">
        <v>121049</v>
      </c>
      <c r="K428">
        <v>0</v>
      </c>
      <c r="L428" s="1" t="s">
        <v>1085</v>
      </c>
      <c r="M428" s="1" t="s">
        <v>1107</v>
      </c>
      <c r="N428">
        <v>45139</v>
      </c>
    </row>
    <row r="429" spans="1:14">
      <c r="A429" s="1" t="s">
        <v>2301</v>
      </c>
      <c r="B429" s="1" t="s">
        <v>2302</v>
      </c>
      <c r="C429" s="1" t="s">
        <v>1528</v>
      </c>
      <c r="D429" s="1" t="s">
        <v>1097</v>
      </c>
      <c r="E429" s="1" t="s">
        <v>1098</v>
      </c>
      <c r="F429" s="1" t="s">
        <v>1083</v>
      </c>
      <c r="G429" s="1" t="s">
        <v>1133</v>
      </c>
      <c r="H429">
        <v>54</v>
      </c>
      <c r="I429" t="s">
        <v>2303</v>
      </c>
      <c r="J429">
        <v>70519</v>
      </c>
      <c r="K429">
        <v>0</v>
      </c>
      <c r="L429" s="1" t="s">
        <v>1085</v>
      </c>
      <c r="M429" s="1" t="s">
        <v>1086</v>
      </c>
      <c r="N429" t="s">
        <v>1241</v>
      </c>
    </row>
    <row r="430" spans="1:14">
      <c r="A430" s="1" t="s">
        <v>2304</v>
      </c>
      <c r="B430" s="1" t="s">
        <v>2305</v>
      </c>
      <c r="C430" s="1" t="s">
        <v>1136</v>
      </c>
      <c r="D430" s="1" t="s">
        <v>1097</v>
      </c>
      <c r="E430" s="1" t="s">
        <v>1098</v>
      </c>
      <c r="F430" s="1" t="s">
        <v>1105</v>
      </c>
      <c r="G430" s="1" t="s">
        <v>1084</v>
      </c>
      <c r="H430">
        <v>55</v>
      </c>
      <c r="I430" t="s">
        <v>2306</v>
      </c>
      <c r="J430">
        <v>106302</v>
      </c>
      <c r="K430">
        <v>0.08</v>
      </c>
      <c r="L430" s="1" t="s">
        <v>1085</v>
      </c>
      <c r="M430" s="1" t="s">
        <v>1112</v>
      </c>
      <c r="N430" t="s">
        <v>1241</v>
      </c>
    </row>
    <row r="431" spans="1:14">
      <c r="A431" s="1" t="s">
        <v>2307</v>
      </c>
      <c r="B431" s="1" t="s">
        <v>2308</v>
      </c>
      <c r="C431" s="1" t="s">
        <v>1412</v>
      </c>
      <c r="D431" s="1" t="s">
        <v>1081</v>
      </c>
      <c r="E431" s="1" t="s">
        <v>1121</v>
      </c>
      <c r="F431" s="1" t="s">
        <v>1083</v>
      </c>
      <c r="G431" s="1" t="s">
        <v>1084</v>
      </c>
      <c r="H431">
        <v>38</v>
      </c>
      <c r="I431" t="s">
        <v>1319</v>
      </c>
      <c r="J431">
        <v>119960</v>
      </c>
      <c r="K431">
        <v>0.15</v>
      </c>
      <c r="L431" s="1" t="s">
        <v>1085</v>
      </c>
      <c r="M431" s="1" t="s">
        <v>1086</v>
      </c>
      <c r="N431" t="s">
        <v>1241</v>
      </c>
    </row>
    <row r="432" spans="1:14">
      <c r="A432" s="1" t="s">
        <v>2309</v>
      </c>
      <c r="B432" s="1" t="s">
        <v>2310</v>
      </c>
      <c r="C432" s="1" t="s">
        <v>1216</v>
      </c>
      <c r="D432" s="1" t="s">
        <v>1081</v>
      </c>
      <c r="E432" s="1" t="s">
        <v>1098</v>
      </c>
      <c r="F432" s="1" t="s">
        <v>1083</v>
      </c>
      <c r="G432" s="1" t="s">
        <v>1106</v>
      </c>
      <c r="H432">
        <v>45</v>
      </c>
      <c r="I432" t="s">
        <v>2311</v>
      </c>
      <c r="J432">
        <v>84309</v>
      </c>
      <c r="K432">
        <v>0</v>
      </c>
      <c r="L432" s="1" t="s">
        <v>1221</v>
      </c>
      <c r="M432" s="1" t="s">
        <v>1443</v>
      </c>
      <c r="N432" t="s">
        <v>1241</v>
      </c>
    </row>
    <row r="433" spans="1:14">
      <c r="A433" s="1" t="s">
        <v>2312</v>
      </c>
      <c r="B433" s="1" t="s">
        <v>2313</v>
      </c>
      <c r="C433" s="1" t="s">
        <v>1160</v>
      </c>
      <c r="D433" s="1" t="s">
        <v>1081</v>
      </c>
      <c r="E433" s="1" t="s">
        <v>1082</v>
      </c>
      <c r="F433" s="1" t="s">
        <v>1105</v>
      </c>
      <c r="G433" s="1" t="s">
        <v>1133</v>
      </c>
      <c r="H433">
        <v>53</v>
      </c>
      <c r="I433" t="s">
        <v>2314</v>
      </c>
      <c r="J433">
        <v>228494</v>
      </c>
      <c r="K433">
        <v>0.33</v>
      </c>
      <c r="L433" s="1" t="s">
        <v>1085</v>
      </c>
      <c r="M433" s="1" t="s">
        <v>1112</v>
      </c>
      <c r="N433" t="s">
        <v>1241</v>
      </c>
    </row>
    <row r="434" spans="1:14">
      <c r="A434" s="1" t="s">
        <v>2315</v>
      </c>
      <c r="B434" s="1" t="s">
        <v>2316</v>
      </c>
      <c r="C434" s="1" t="s">
        <v>1136</v>
      </c>
      <c r="D434" s="1" t="s">
        <v>1090</v>
      </c>
      <c r="E434" s="1" t="s">
        <v>1121</v>
      </c>
      <c r="F434" s="1" t="s">
        <v>1083</v>
      </c>
      <c r="G434" s="1" t="s">
        <v>1084</v>
      </c>
      <c r="H434">
        <v>45</v>
      </c>
      <c r="I434" t="s">
        <v>2317</v>
      </c>
      <c r="J434">
        <v>112076</v>
      </c>
      <c r="K434">
        <v>0.06</v>
      </c>
      <c r="L434" s="1" t="s">
        <v>1100</v>
      </c>
      <c r="M434" s="1" t="s">
        <v>1129</v>
      </c>
      <c r="N434" t="s">
        <v>1241</v>
      </c>
    </row>
    <row r="435" spans="1:14">
      <c r="A435" s="1" t="s">
        <v>2318</v>
      </c>
      <c r="B435" s="1" t="s">
        <v>2319</v>
      </c>
      <c r="C435" s="1" t="s">
        <v>1173</v>
      </c>
      <c r="D435" s="1" t="s">
        <v>1097</v>
      </c>
      <c r="E435" s="1" t="s">
        <v>1121</v>
      </c>
      <c r="F435" s="1" t="s">
        <v>1083</v>
      </c>
      <c r="G435" s="1" t="s">
        <v>1106</v>
      </c>
      <c r="H435">
        <v>65</v>
      </c>
      <c r="I435" t="s">
        <v>2320</v>
      </c>
      <c r="J435">
        <v>88533</v>
      </c>
      <c r="K435">
        <v>0</v>
      </c>
      <c r="L435" s="1" t="s">
        <v>1221</v>
      </c>
      <c r="M435" s="1" t="s">
        <v>1222</v>
      </c>
      <c r="N435" t="s">
        <v>1241</v>
      </c>
    </row>
    <row r="436" spans="1:14">
      <c r="A436" s="1" t="s">
        <v>2321</v>
      </c>
      <c r="B436" s="1" t="s">
        <v>2322</v>
      </c>
      <c r="C436" s="1" t="s">
        <v>1384</v>
      </c>
      <c r="D436" s="1" t="s">
        <v>1208</v>
      </c>
      <c r="E436" s="1" t="s">
        <v>1098</v>
      </c>
      <c r="F436" s="1" t="s">
        <v>1083</v>
      </c>
      <c r="G436" s="1" t="s">
        <v>1106</v>
      </c>
      <c r="H436">
        <v>62</v>
      </c>
      <c r="I436" t="s">
        <v>2323</v>
      </c>
      <c r="J436">
        <v>72025</v>
      </c>
      <c r="K436">
        <v>0</v>
      </c>
      <c r="L436" s="1" t="s">
        <v>1221</v>
      </c>
      <c r="M436" s="1" t="s">
        <v>1443</v>
      </c>
      <c r="N436" t="s">
        <v>1241</v>
      </c>
    </row>
    <row r="437" spans="1:14">
      <c r="A437" s="1" t="s">
        <v>2324</v>
      </c>
      <c r="B437" s="1" t="s">
        <v>2325</v>
      </c>
      <c r="C437" s="1" t="s">
        <v>1446</v>
      </c>
      <c r="D437" s="1" t="s">
        <v>1081</v>
      </c>
      <c r="E437" s="1" t="s">
        <v>1082</v>
      </c>
      <c r="F437" s="1" t="s">
        <v>1083</v>
      </c>
      <c r="G437" s="1" t="s">
        <v>1084</v>
      </c>
      <c r="H437">
        <v>59</v>
      </c>
      <c r="I437">
        <v>38140</v>
      </c>
      <c r="J437">
        <v>67947</v>
      </c>
      <c r="K437">
        <v>0</v>
      </c>
      <c r="L437" s="1" t="s">
        <v>1100</v>
      </c>
      <c r="M437" s="1" t="s">
        <v>1101</v>
      </c>
      <c r="N437" t="s">
        <v>1241</v>
      </c>
    </row>
    <row r="438" spans="1:14">
      <c r="A438" s="1" t="s">
        <v>2326</v>
      </c>
      <c r="B438" s="1" t="s">
        <v>2327</v>
      </c>
      <c r="C438" s="1" t="s">
        <v>1275</v>
      </c>
      <c r="D438" s="1" t="s">
        <v>1097</v>
      </c>
      <c r="E438" s="1" t="s">
        <v>1082</v>
      </c>
      <c r="F438" s="1" t="s">
        <v>1105</v>
      </c>
      <c r="G438" s="1" t="s">
        <v>1133</v>
      </c>
      <c r="H438">
        <v>42</v>
      </c>
      <c r="I438">
        <v>44172</v>
      </c>
      <c r="J438">
        <v>79764</v>
      </c>
      <c r="K438">
        <v>0</v>
      </c>
      <c r="L438" s="1" t="s">
        <v>1085</v>
      </c>
      <c r="M438" s="1" t="s">
        <v>1112</v>
      </c>
      <c r="N438">
        <v>44318</v>
      </c>
    </row>
    <row r="439" spans="1:14">
      <c r="A439" s="1" t="s">
        <v>2328</v>
      </c>
      <c r="B439" s="1" t="s">
        <v>2329</v>
      </c>
      <c r="C439" s="1" t="s">
        <v>1275</v>
      </c>
      <c r="D439" s="1" t="s">
        <v>1097</v>
      </c>
      <c r="E439" s="1" t="s">
        <v>1098</v>
      </c>
      <c r="F439" s="1" t="s">
        <v>1105</v>
      </c>
      <c r="G439" s="1" t="s">
        <v>1084</v>
      </c>
      <c r="H439">
        <v>33</v>
      </c>
      <c r="I439" t="s">
        <v>2330</v>
      </c>
      <c r="J439">
        <v>60690</v>
      </c>
      <c r="K439">
        <v>0</v>
      </c>
      <c r="L439" s="1" t="s">
        <v>1100</v>
      </c>
      <c r="M439" s="1" t="s">
        <v>1123</v>
      </c>
      <c r="N439" t="s">
        <v>1241</v>
      </c>
    </row>
    <row r="440" spans="1:14">
      <c r="A440" s="1" t="s">
        <v>2331</v>
      </c>
      <c r="B440" s="1" t="s">
        <v>2332</v>
      </c>
      <c r="C440" s="1" t="s">
        <v>1089</v>
      </c>
      <c r="D440" s="1" t="s">
        <v>1120</v>
      </c>
      <c r="E440" s="1" t="s">
        <v>1091</v>
      </c>
      <c r="F440" s="1" t="s">
        <v>1083</v>
      </c>
      <c r="G440" s="1" t="s">
        <v>1084</v>
      </c>
      <c r="H440">
        <v>29</v>
      </c>
      <c r="I440" t="s">
        <v>2333</v>
      </c>
      <c r="J440">
        <v>44520</v>
      </c>
      <c r="K440">
        <v>0</v>
      </c>
      <c r="L440" s="1" t="s">
        <v>1085</v>
      </c>
      <c r="M440" s="1" t="s">
        <v>1093</v>
      </c>
      <c r="N440" t="s">
        <v>1241</v>
      </c>
    </row>
    <row r="441" spans="1:14">
      <c r="A441" s="1" t="s">
        <v>2334</v>
      </c>
      <c r="B441" s="1" t="s">
        <v>2335</v>
      </c>
      <c r="C441" s="1" t="s">
        <v>1560</v>
      </c>
      <c r="D441" s="1" t="s">
        <v>1097</v>
      </c>
      <c r="E441" s="1" t="s">
        <v>1091</v>
      </c>
      <c r="F441" s="1" t="s">
        <v>1083</v>
      </c>
      <c r="G441" s="1" t="s">
        <v>1106</v>
      </c>
      <c r="H441">
        <v>33</v>
      </c>
      <c r="I441" t="s">
        <v>2336</v>
      </c>
      <c r="J441">
        <v>84317</v>
      </c>
      <c r="K441">
        <v>0</v>
      </c>
      <c r="L441" s="1" t="s">
        <v>1221</v>
      </c>
      <c r="M441" s="1" t="s">
        <v>1222</v>
      </c>
      <c r="N441" t="s">
        <v>1241</v>
      </c>
    </row>
    <row r="442" spans="1:14">
      <c r="A442" s="1" t="s">
        <v>2337</v>
      </c>
      <c r="B442" s="1" t="s">
        <v>2338</v>
      </c>
      <c r="C442" s="1" t="s">
        <v>1110</v>
      </c>
      <c r="D442" s="1" t="s">
        <v>1090</v>
      </c>
      <c r="E442" s="1" t="s">
        <v>1082</v>
      </c>
      <c r="F442" s="1" t="s">
        <v>1105</v>
      </c>
      <c r="G442" s="1" t="s">
        <v>1084</v>
      </c>
      <c r="H442">
        <v>36</v>
      </c>
      <c r="I442" t="s">
        <v>2339</v>
      </c>
      <c r="J442">
        <v>151055</v>
      </c>
      <c r="K442">
        <v>0.19</v>
      </c>
      <c r="L442" s="1" t="s">
        <v>1085</v>
      </c>
      <c r="M442" s="1" t="s">
        <v>1086</v>
      </c>
      <c r="N442" t="s">
        <v>1241</v>
      </c>
    </row>
    <row r="443" spans="1:14">
      <c r="A443" s="1" t="s">
        <v>2340</v>
      </c>
      <c r="B443" s="1" t="s">
        <v>2341</v>
      </c>
      <c r="C443" s="1" t="s">
        <v>1560</v>
      </c>
      <c r="D443" s="1" t="s">
        <v>1097</v>
      </c>
      <c r="E443" s="1" t="s">
        <v>1098</v>
      </c>
      <c r="F443" s="1" t="s">
        <v>1083</v>
      </c>
      <c r="G443" s="1" t="s">
        <v>1084</v>
      </c>
      <c r="H443">
        <v>43</v>
      </c>
      <c r="I443" t="s">
        <v>2342</v>
      </c>
      <c r="J443">
        <v>62492</v>
      </c>
      <c r="K443">
        <v>0</v>
      </c>
      <c r="L443" s="1" t="s">
        <v>1085</v>
      </c>
      <c r="M443" s="1" t="s">
        <v>1086</v>
      </c>
      <c r="N443" t="s">
        <v>1241</v>
      </c>
    </row>
    <row r="444" spans="1:14">
      <c r="A444" s="1" t="s">
        <v>2343</v>
      </c>
      <c r="B444" s="1" t="s">
        <v>2344</v>
      </c>
      <c r="C444" s="1" t="s">
        <v>1384</v>
      </c>
      <c r="D444" s="1" t="s">
        <v>1208</v>
      </c>
      <c r="E444" s="1" t="s">
        <v>1098</v>
      </c>
      <c r="F444" s="1" t="s">
        <v>1105</v>
      </c>
      <c r="G444" s="1" t="s">
        <v>1084</v>
      </c>
      <c r="H444">
        <v>51</v>
      </c>
      <c r="I444" t="s">
        <v>2345</v>
      </c>
      <c r="J444">
        <v>72589</v>
      </c>
      <c r="K444">
        <v>0</v>
      </c>
      <c r="L444" s="1" t="s">
        <v>1085</v>
      </c>
      <c r="M444" s="1" t="s">
        <v>1112</v>
      </c>
      <c r="N444" t="s">
        <v>1241</v>
      </c>
    </row>
    <row r="445" spans="1:14">
      <c r="A445" s="1" t="s">
        <v>2346</v>
      </c>
      <c r="B445" s="1" t="s">
        <v>2347</v>
      </c>
      <c r="C445" s="1" t="s">
        <v>1632</v>
      </c>
      <c r="D445" s="1" t="s">
        <v>1081</v>
      </c>
      <c r="E445" s="1" t="s">
        <v>1091</v>
      </c>
      <c r="F445" s="1" t="s">
        <v>1083</v>
      </c>
      <c r="G445" s="1" t="s">
        <v>1084</v>
      </c>
      <c r="H445">
        <v>27</v>
      </c>
      <c r="I445" t="s">
        <v>2348</v>
      </c>
      <c r="J445">
        <v>82286</v>
      </c>
      <c r="K445">
        <v>0</v>
      </c>
      <c r="L445" s="1" t="s">
        <v>1085</v>
      </c>
      <c r="M445" s="1" t="s">
        <v>1093</v>
      </c>
      <c r="N445">
        <v>44603</v>
      </c>
    </row>
    <row r="446" spans="1:14">
      <c r="A446" s="1" t="s">
        <v>2349</v>
      </c>
      <c r="B446" s="1" t="s">
        <v>2350</v>
      </c>
      <c r="C446" s="1" t="s">
        <v>1275</v>
      </c>
      <c r="D446" s="1" t="s">
        <v>1097</v>
      </c>
      <c r="E446" s="1" t="s">
        <v>1098</v>
      </c>
      <c r="F446" s="1" t="s">
        <v>1105</v>
      </c>
      <c r="G446" s="1" t="s">
        <v>1133</v>
      </c>
      <c r="H446">
        <v>55</v>
      </c>
      <c r="I446" t="s">
        <v>2351</v>
      </c>
      <c r="J446">
        <v>66660</v>
      </c>
      <c r="K446">
        <v>0</v>
      </c>
      <c r="L446" s="1" t="s">
        <v>1085</v>
      </c>
      <c r="M446" s="1" t="s">
        <v>1116</v>
      </c>
      <c r="N446" t="s">
        <v>2352</v>
      </c>
    </row>
    <row r="447" spans="1:14">
      <c r="A447" s="1" t="s">
        <v>2353</v>
      </c>
      <c r="B447" s="1" t="s">
        <v>2354</v>
      </c>
      <c r="C447" s="1" t="s">
        <v>1601</v>
      </c>
      <c r="D447" s="1" t="s">
        <v>1081</v>
      </c>
      <c r="E447" s="1" t="s">
        <v>1121</v>
      </c>
      <c r="F447" s="1" t="s">
        <v>1105</v>
      </c>
      <c r="G447" s="1" t="s">
        <v>1106</v>
      </c>
      <c r="H447">
        <v>62</v>
      </c>
      <c r="I447" t="s">
        <v>2355</v>
      </c>
      <c r="J447">
        <v>86805</v>
      </c>
      <c r="K447">
        <v>0</v>
      </c>
      <c r="L447" s="1" t="s">
        <v>1085</v>
      </c>
      <c r="M447" s="1" t="s">
        <v>1112</v>
      </c>
      <c r="N447" t="s">
        <v>1241</v>
      </c>
    </row>
    <row r="448" spans="1:14">
      <c r="A448" s="1" t="s">
        <v>2356</v>
      </c>
      <c r="B448" s="1" t="s">
        <v>2357</v>
      </c>
      <c r="C448" s="1" t="s">
        <v>1136</v>
      </c>
      <c r="D448" s="1" t="s">
        <v>1208</v>
      </c>
      <c r="E448" s="1" t="s">
        <v>1121</v>
      </c>
      <c r="F448" s="1" t="s">
        <v>1105</v>
      </c>
      <c r="G448" s="1" t="s">
        <v>1084</v>
      </c>
      <c r="H448">
        <v>46</v>
      </c>
      <c r="I448">
        <v>38299</v>
      </c>
      <c r="J448">
        <v>125878</v>
      </c>
      <c r="K448">
        <v>0.1</v>
      </c>
      <c r="L448" s="1" t="s">
        <v>1085</v>
      </c>
      <c r="M448" s="1" t="s">
        <v>1112</v>
      </c>
      <c r="N448" t="s">
        <v>2358</v>
      </c>
    </row>
    <row r="449" spans="1:14">
      <c r="A449" s="1" t="s">
        <v>2359</v>
      </c>
      <c r="B449" s="1" t="s">
        <v>2360</v>
      </c>
      <c r="C449" s="1" t="s">
        <v>1089</v>
      </c>
      <c r="D449" s="1" t="s">
        <v>1120</v>
      </c>
      <c r="E449" s="1" t="s">
        <v>1098</v>
      </c>
      <c r="F449" s="1" t="s">
        <v>1105</v>
      </c>
      <c r="G449" s="1" t="s">
        <v>1153</v>
      </c>
      <c r="H449">
        <v>47</v>
      </c>
      <c r="I449">
        <v>40036</v>
      </c>
      <c r="J449">
        <v>50290</v>
      </c>
      <c r="K449">
        <v>0</v>
      </c>
      <c r="L449" s="1" t="s">
        <v>1085</v>
      </c>
      <c r="M449" s="1" t="s">
        <v>1086</v>
      </c>
      <c r="N449" t="s">
        <v>1241</v>
      </c>
    </row>
    <row r="450" spans="1:14">
      <c r="A450" s="1" t="s">
        <v>2361</v>
      </c>
      <c r="B450" s="1" t="s">
        <v>2362</v>
      </c>
      <c r="C450" s="1" t="s">
        <v>1294</v>
      </c>
      <c r="D450" s="1" t="s">
        <v>1097</v>
      </c>
      <c r="E450" s="1" t="s">
        <v>1098</v>
      </c>
      <c r="F450" s="1" t="s">
        <v>1105</v>
      </c>
      <c r="G450" s="1" t="s">
        <v>1106</v>
      </c>
      <c r="H450">
        <v>57</v>
      </c>
      <c r="I450" t="s">
        <v>2363</v>
      </c>
      <c r="J450">
        <v>97083</v>
      </c>
      <c r="K450">
        <v>0.06</v>
      </c>
      <c r="L450" s="1" t="s">
        <v>1085</v>
      </c>
      <c r="M450" s="1" t="s">
        <v>1112</v>
      </c>
      <c r="N450" t="s">
        <v>2364</v>
      </c>
    </row>
    <row r="451" spans="1:14">
      <c r="A451" s="1" t="s">
        <v>2365</v>
      </c>
      <c r="B451" s="1" t="s">
        <v>2366</v>
      </c>
      <c r="C451" s="1" t="s">
        <v>1096</v>
      </c>
      <c r="D451" s="1" t="s">
        <v>1097</v>
      </c>
      <c r="E451" s="1" t="s">
        <v>1091</v>
      </c>
      <c r="F451" s="1" t="s">
        <v>1105</v>
      </c>
      <c r="G451" s="1" t="s">
        <v>1084</v>
      </c>
      <c r="H451">
        <v>49</v>
      </c>
      <c r="I451">
        <v>43742</v>
      </c>
      <c r="J451">
        <v>93306</v>
      </c>
      <c r="K451">
        <v>0</v>
      </c>
      <c r="L451" s="1" t="s">
        <v>1100</v>
      </c>
      <c r="M451" s="1" t="s">
        <v>1188</v>
      </c>
      <c r="N451" t="s">
        <v>1241</v>
      </c>
    </row>
    <row r="452" spans="1:14">
      <c r="A452" s="1" t="s">
        <v>2367</v>
      </c>
      <c r="B452" s="1" t="s">
        <v>2368</v>
      </c>
      <c r="C452" s="1" t="s">
        <v>1446</v>
      </c>
      <c r="D452" s="1" t="s">
        <v>1081</v>
      </c>
      <c r="E452" s="1" t="s">
        <v>1082</v>
      </c>
      <c r="F452" s="1" t="s">
        <v>1105</v>
      </c>
      <c r="G452" s="1" t="s">
        <v>1084</v>
      </c>
      <c r="H452">
        <v>42</v>
      </c>
      <c r="I452">
        <v>44776</v>
      </c>
      <c r="J452">
        <v>73404</v>
      </c>
      <c r="K452">
        <v>0</v>
      </c>
      <c r="L452" s="1" t="s">
        <v>1085</v>
      </c>
      <c r="M452" s="1" t="s">
        <v>1112</v>
      </c>
      <c r="N452" t="s">
        <v>1241</v>
      </c>
    </row>
    <row r="453" spans="1:14">
      <c r="A453" s="1" t="s">
        <v>2369</v>
      </c>
      <c r="B453" s="1" t="s">
        <v>2370</v>
      </c>
      <c r="C453" s="1" t="s">
        <v>1104</v>
      </c>
      <c r="D453" s="1" t="s">
        <v>1097</v>
      </c>
      <c r="E453" s="1" t="s">
        <v>1121</v>
      </c>
      <c r="F453" s="1" t="s">
        <v>1105</v>
      </c>
      <c r="G453" s="1" t="s">
        <v>1084</v>
      </c>
      <c r="H453">
        <v>55</v>
      </c>
      <c r="I453">
        <v>44754</v>
      </c>
      <c r="J453">
        <v>91179</v>
      </c>
      <c r="K453">
        <v>0</v>
      </c>
      <c r="L453" s="1" t="s">
        <v>1085</v>
      </c>
      <c r="M453" s="1" t="s">
        <v>1086</v>
      </c>
      <c r="N453">
        <v>44928</v>
      </c>
    </row>
    <row r="454" spans="1:14">
      <c r="A454" s="1" t="s">
        <v>2371</v>
      </c>
      <c r="B454" s="1" t="s">
        <v>2372</v>
      </c>
      <c r="C454" s="1" t="s">
        <v>1136</v>
      </c>
      <c r="D454" s="1" t="s">
        <v>1127</v>
      </c>
      <c r="E454" s="1" t="s">
        <v>1121</v>
      </c>
      <c r="F454" s="1" t="s">
        <v>1105</v>
      </c>
      <c r="G454" s="1" t="s">
        <v>1084</v>
      </c>
      <c r="H454">
        <v>46</v>
      </c>
      <c r="I454" t="s">
        <v>2373</v>
      </c>
      <c r="J454">
        <v>108003</v>
      </c>
      <c r="K454">
        <v>0.05</v>
      </c>
      <c r="L454" s="1" t="s">
        <v>1100</v>
      </c>
      <c r="M454" s="1" t="s">
        <v>1129</v>
      </c>
      <c r="N454" t="s">
        <v>1241</v>
      </c>
    </row>
    <row r="455" spans="1:14">
      <c r="A455" s="1" t="s">
        <v>2374</v>
      </c>
      <c r="B455" s="1" t="s">
        <v>2375</v>
      </c>
      <c r="C455" s="1" t="s">
        <v>1132</v>
      </c>
      <c r="D455" s="1" t="s">
        <v>1097</v>
      </c>
      <c r="E455" s="1" t="s">
        <v>1091</v>
      </c>
      <c r="F455" s="1" t="s">
        <v>1083</v>
      </c>
      <c r="G455" s="1" t="s">
        <v>1084</v>
      </c>
      <c r="H455">
        <v>45</v>
      </c>
      <c r="I455" t="s">
        <v>2376</v>
      </c>
      <c r="J455">
        <v>81384</v>
      </c>
      <c r="K455">
        <v>0</v>
      </c>
      <c r="L455" s="1" t="s">
        <v>1100</v>
      </c>
      <c r="M455" s="1" t="s">
        <v>1188</v>
      </c>
      <c r="N455" t="s">
        <v>1241</v>
      </c>
    </row>
    <row r="456" spans="1:14">
      <c r="A456" s="1" t="s">
        <v>2377</v>
      </c>
      <c r="B456" s="1" t="s">
        <v>2378</v>
      </c>
      <c r="C456" s="1" t="s">
        <v>1364</v>
      </c>
      <c r="D456" s="1" t="s">
        <v>1208</v>
      </c>
      <c r="E456" s="1" t="s">
        <v>1082</v>
      </c>
      <c r="F456" s="1" t="s">
        <v>1083</v>
      </c>
      <c r="G456" s="1" t="s">
        <v>1133</v>
      </c>
      <c r="H456">
        <v>53</v>
      </c>
      <c r="I456" t="s">
        <v>2379</v>
      </c>
      <c r="J456">
        <v>97218</v>
      </c>
      <c r="K456">
        <v>0</v>
      </c>
      <c r="L456" s="1" t="s">
        <v>1085</v>
      </c>
      <c r="M456" s="1" t="s">
        <v>1112</v>
      </c>
      <c r="N456" t="s">
        <v>1241</v>
      </c>
    </row>
    <row r="457" spans="1:14">
      <c r="A457" s="1" t="s">
        <v>2380</v>
      </c>
      <c r="B457" s="1" t="s">
        <v>2381</v>
      </c>
      <c r="C457" s="1" t="s">
        <v>1089</v>
      </c>
      <c r="D457" s="1" t="s">
        <v>1090</v>
      </c>
      <c r="E457" s="1" t="s">
        <v>1098</v>
      </c>
      <c r="F457" s="1" t="s">
        <v>1105</v>
      </c>
      <c r="G457" s="1" t="s">
        <v>1133</v>
      </c>
      <c r="H457">
        <v>46</v>
      </c>
      <c r="I457" t="s">
        <v>2382</v>
      </c>
      <c r="J457">
        <v>42944</v>
      </c>
      <c r="K457">
        <v>0</v>
      </c>
      <c r="L457" s="1" t="s">
        <v>1085</v>
      </c>
      <c r="M457" s="1" t="s">
        <v>1137</v>
      </c>
      <c r="N457" t="s">
        <v>1241</v>
      </c>
    </row>
    <row r="458" spans="1:14">
      <c r="A458" s="1" t="s">
        <v>2383</v>
      </c>
      <c r="B458" s="1" t="s">
        <v>2384</v>
      </c>
      <c r="C458" s="1" t="s">
        <v>1089</v>
      </c>
      <c r="D458" s="1" t="s">
        <v>1127</v>
      </c>
      <c r="E458" s="1" t="s">
        <v>1098</v>
      </c>
      <c r="F458" s="1" t="s">
        <v>1105</v>
      </c>
      <c r="G458" s="1" t="s">
        <v>1106</v>
      </c>
      <c r="H458">
        <v>48</v>
      </c>
      <c r="I458" t="s">
        <v>2385</v>
      </c>
      <c r="J458">
        <v>43980</v>
      </c>
      <c r="K458">
        <v>0</v>
      </c>
      <c r="L458" s="1" t="s">
        <v>1085</v>
      </c>
      <c r="M458" s="1" t="s">
        <v>1086</v>
      </c>
      <c r="N458" t="s">
        <v>1241</v>
      </c>
    </row>
    <row r="459" spans="1:14">
      <c r="A459" s="1" t="s">
        <v>2386</v>
      </c>
      <c r="B459" s="1" t="s">
        <v>2387</v>
      </c>
      <c r="C459" s="1" t="s">
        <v>1136</v>
      </c>
      <c r="D459" s="1" t="s">
        <v>1148</v>
      </c>
      <c r="E459" s="1" t="s">
        <v>1091</v>
      </c>
      <c r="F459" s="1" t="s">
        <v>1105</v>
      </c>
      <c r="G459" s="1" t="s">
        <v>1084</v>
      </c>
      <c r="H459">
        <v>33</v>
      </c>
      <c r="I459" t="s">
        <v>2388</v>
      </c>
      <c r="J459">
        <v>109533</v>
      </c>
      <c r="K459">
        <v>0.05</v>
      </c>
      <c r="L459" s="1" t="s">
        <v>1100</v>
      </c>
      <c r="M459" s="1" t="s">
        <v>1129</v>
      </c>
      <c r="N459" t="s">
        <v>1241</v>
      </c>
    </row>
    <row r="460" spans="1:14">
      <c r="A460" s="1" t="s">
        <v>2389</v>
      </c>
      <c r="B460" s="1" t="s">
        <v>2390</v>
      </c>
      <c r="C460" s="1" t="s">
        <v>1160</v>
      </c>
      <c r="D460" s="1" t="s">
        <v>1120</v>
      </c>
      <c r="E460" s="1" t="s">
        <v>1098</v>
      </c>
      <c r="F460" s="1" t="s">
        <v>1105</v>
      </c>
      <c r="G460" s="1" t="s">
        <v>1133</v>
      </c>
      <c r="H460">
        <v>56</v>
      </c>
      <c r="I460" t="s">
        <v>2391</v>
      </c>
      <c r="J460">
        <v>226952</v>
      </c>
      <c r="K460">
        <v>0.39</v>
      </c>
      <c r="L460" s="1" t="s">
        <v>1085</v>
      </c>
      <c r="M460" s="1" t="s">
        <v>1137</v>
      </c>
      <c r="N460" t="s">
        <v>1241</v>
      </c>
    </row>
    <row r="461" spans="1:14">
      <c r="A461" s="1" t="s">
        <v>2392</v>
      </c>
      <c r="B461" s="1" t="s">
        <v>2393</v>
      </c>
      <c r="C461" s="1" t="s">
        <v>1132</v>
      </c>
      <c r="D461" s="1" t="s">
        <v>1097</v>
      </c>
      <c r="E461" s="1" t="s">
        <v>1082</v>
      </c>
      <c r="F461" s="1" t="s">
        <v>1105</v>
      </c>
      <c r="G461" s="1" t="s">
        <v>1106</v>
      </c>
      <c r="H461">
        <v>59</v>
      </c>
      <c r="I461" t="s">
        <v>2394</v>
      </c>
      <c r="J461">
        <v>71580</v>
      </c>
      <c r="K461">
        <v>0</v>
      </c>
      <c r="L461" s="1" t="s">
        <v>1085</v>
      </c>
      <c r="M461" s="1" t="s">
        <v>1107</v>
      </c>
      <c r="N461" t="s">
        <v>1241</v>
      </c>
    </row>
    <row r="462" spans="1:14">
      <c r="A462" s="1" t="s">
        <v>2395</v>
      </c>
      <c r="B462" s="1" t="s">
        <v>2396</v>
      </c>
      <c r="C462" s="1" t="s">
        <v>1126</v>
      </c>
      <c r="D462" s="1" t="s">
        <v>1127</v>
      </c>
      <c r="E462" s="1" t="s">
        <v>1082</v>
      </c>
      <c r="F462" s="1" t="s">
        <v>1083</v>
      </c>
      <c r="G462" s="1" t="s">
        <v>1106</v>
      </c>
      <c r="H462">
        <v>55</v>
      </c>
      <c r="I462" t="s">
        <v>2397</v>
      </c>
      <c r="J462">
        <v>66172</v>
      </c>
      <c r="K462">
        <v>0</v>
      </c>
      <c r="L462" s="1" t="s">
        <v>1221</v>
      </c>
      <c r="M462" s="1" t="s">
        <v>1443</v>
      </c>
      <c r="N462" t="s">
        <v>1241</v>
      </c>
    </row>
    <row r="463" spans="1:14">
      <c r="A463" s="1" t="s">
        <v>2398</v>
      </c>
      <c r="B463" s="1" t="s">
        <v>2399</v>
      </c>
      <c r="C463" s="1" t="s">
        <v>1160</v>
      </c>
      <c r="D463" s="1" t="s">
        <v>1148</v>
      </c>
      <c r="E463" s="1" t="s">
        <v>1098</v>
      </c>
      <c r="F463" s="1" t="s">
        <v>1105</v>
      </c>
      <c r="G463" s="1" t="s">
        <v>1084</v>
      </c>
      <c r="H463">
        <v>46</v>
      </c>
      <c r="I463" t="s">
        <v>1244</v>
      </c>
      <c r="J463">
        <v>237489</v>
      </c>
      <c r="K463">
        <v>0.3</v>
      </c>
      <c r="L463" s="1" t="s">
        <v>1085</v>
      </c>
      <c r="M463" s="1" t="s">
        <v>1093</v>
      </c>
      <c r="N463" t="s">
        <v>1241</v>
      </c>
    </row>
    <row r="464" spans="1:14">
      <c r="A464" s="1" t="s">
        <v>2400</v>
      </c>
      <c r="B464" s="1" t="s">
        <v>2401</v>
      </c>
      <c r="C464" s="1" t="s">
        <v>1089</v>
      </c>
      <c r="D464" s="1" t="s">
        <v>1148</v>
      </c>
      <c r="E464" s="1" t="s">
        <v>1121</v>
      </c>
      <c r="F464" s="1" t="s">
        <v>1105</v>
      </c>
      <c r="G464" s="1" t="s">
        <v>1084</v>
      </c>
      <c r="H464">
        <v>50</v>
      </c>
      <c r="I464" t="s">
        <v>2402</v>
      </c>
      <c r="J464">
        <v>48733</v>
      </c>
      <c r="K464">
        <v>0</v>
      </c>
      <c r="L464" s="1" t="s">
        <v>1085</v>
      </c>
      <c r="M464" s="1" t="s">
        <v>1107</v>
      </c>
      <c r="N464" t="s">
        <v>1241</v>
      </c>
    </row>
    <row r="465" spans="1:14">
      <c r="A465" s="1" t="s">
        <v>2403</v>
      </c>
      <c r="B465" s="1" t="s">
        <v>2404</v>
      </c>
      <c r="C465" s="1" t="s">
        <v>1089</v>
      </c>
      <c r="D465" s="1" t="s">
        <v>1090</v>
      </c>
      <c r="E465" s="1" t="s">
        <v>1091</v>
      </c>
      <c r="F465" s="1" t="s">
        <v>1105</v>
      </c>
      <c r="G465" s="1" t="s">
        <v>1084</v>
      </c>
      <c r="H465">
        <v>29</v>
      </c>
      <c r="I465" t="s">
        <v>2405</v>
      </c>
      <c r="J465">
        <v>48563</v>
      </c>
      <c r="K465">
        <v>0</v>
      </c>
      <c r="L465" s="1" t="s">
        <v>1100</v>
      </c>
      <c r="M465" s="1" t="s">
        <v>1101</v>
      </c>
      <c r="N465" t="s">
        <v>1241</v>
      </c>
    </row>
    <row r="466" spans="1:14">
      <c r="A466" s="1" t="s">
        <v>2406</v>
      </c>
      <c r="B466" s="1" t="s">
        <v>2407</v>
      </c>
      <c r="C466" s="1" t="s">
        <v>1275</v>
      </c>
      <c r="D466" s="1" t="s">
        <v>1097</v>
      </c>
      <c r="E466" s="1" t="s">
        <v>1082</v>
      </c>
      <c r="F466" s="1" t="s">
        <v>1083</v>
      </c>
      <c r="G466" s="1" t="s">
        <v>1084</v>
      </c>
      <c r="H466">
        <v>57</v>
      </c>
      <c r="I466" t="s">
        <v>2408</v>
      </c>
      <c r="J466">
        <v>86592</v>
      </c>
      <c r="K466">
        <v>0</v>
      </c>
      <c r="L466" s="1" t="s">
        <v>1100</v>
      </c>
      <c r="M466" s="1" t="s">
        <v>1123</v>
      </c>
      <c r="N466" t="s">
        <v>1241</v>
      </c>
    </row>
    <row r="467" spans="1:14">
      <c r="A467" s="1" t="s">
        <v>2409</v>
      </c>
      <c r="B467" s="1" t="s">
        <v>2410</v>
      </c>
      <c r="C467" s="1" t="s">
        <v>1160</v>
      </c>
      <c r="D467" s="1" t="s">
        <v>1127</v>
      </c>
      <c r="E467" s="1" t="s">
        <v>1098</v>
      </c>
      <c r="F467" s="1" t="s">
        <v>1105</v>
      </c>
      <c r="G467" s="1" t="s">
        <v>1133</v>
      </c>
      <c r="H467">
        <v>39</v>
      </c>
      <c r="I467" t="s">
        <v>2411</v>
      </c>
      <c r="J467">
        <v>189823</v>
      </c>
      <c r="K467">
        <v>0.38</v>
      </c>
      <c r="L467" s="1" t="s">
        <v>1085</v>
      </c>
      <c r="M467" s="1" t="s">
        <v>1086</v>
      </c>
      <c r="N467" t="s">
        <v>1241</v>
      </c>
    </row>
    <row r="468" spans="1:14">
      <c r="A468" s="1" t="s">
        <v>2412</v>
      </c>
      <c r="B468" s="1" t="s">
        <v>2413</v>
      </c>
      <c r="C468" s="1" t="s">
        <v>1285</v>
      </c>
      <c r="D468" s="1" t="s">
        <v>1097</v>
      </c>
      <c r="E468" s="1" t="s">
        <v>1091</v>
      </c>
      <c r="F468" s="1" t="s">
        <v>1083</v>
      </c>
      <c r="G468" s="1" t="s">
        <v>1153</v>
      </c>
      <c r="H468">
        <v>40</v>
      </c>
      <c r="I468" t="s">
        <v>1811</v>
      </c>
      <c r="J468">
        <v>65075</v>
      </c>
      <c r="K468">
        <v>0</v>
      </c>
      <c r="L468" s="1" t="s">
        <v>1085</v>
      </c>
      <c r="M468" s="1" t="s">
        <v>1116</v>
      </c>
      <c r="N468" t="s">
        <v>1241</v>
      </c>
    </row>
    <row r="469" spans="1:14">
      <c r="A469" s="1" t="s">
        <v>2414</v>
      </c>
      <c r="B469" s="1" t="s">
        <v>2415</v>
      </c>
      <c r="C469" s="1" t="s">
        <v>1160</v>
      </c>
      <c r="D469" s="1" t="s">
        <v>1208</v>
      </c>
      <c r="E469" s="1" t="s">
        <v>1121</v>
      </c>
      <c r="F469" s="1" t="s">
        <v>1083</v>
      </c>
      <c r="G469" s="1" t="s">
        <v>1106</v>
      </c>
      <c r="H469">
        <v>33</v>
      </c>
      <c r="I469">
        <v>43348</v>
      </c>
      <c r="J469">
        <v>187917</v>
      </c>
      <c r="K469">
        <v>0.35</v>
      </c>
      <c r="L469" s="1" t="s">
        <v>1085</v>
      </c>
      <c r="M469" s="1" t="s">
        <v>1093</v>
      </c>
      <c r="N469" t="s">
        <v>1241</v>
      </c>
    </row>
    <row r="470" spans="1:14">
      <c r="A470" s="1" t="s">
        <v>2416</v>
      </c>
      <c r="B470" s="1" t="s">
        <v>2417</v>
      </c>
      <c r="C470" s="1" t="s">
        <v>1089</v>
      </c>
      <c r="D470" s="1" t="s">
        <v>1090</v>
      </c>
      <c r="E470" s="1" t="s">
        <v>1121</v>
      </c>
      <c r="F470" s="1" t="s">
        <v>1105</v>
      </c>
      <c r="G470" s="1" t="s">
        <v>1106</v>
      </c>
      <c r="H470">
        <v>49</v>
      </c>
      <c r="I470" t="s">
        <v>2418</v>
      </c>
      <c r="J470">
        <v>42242</v>
      </c>
      <c r="K470">
        <v>0</v>
      </c>
      <c r="L470" s="1" t="s">
        <v>1221</v>
      </c>
      <c r="M470" s="1" t="s">
        <v>1298</v>
      </c>
      <c r="N470" t="s">
        <v>1241</v>
      </c>
    </row>
    <row r="471" spans="1:14">
      <c r="A471" s="1" t="s">
        <v>2419</v>
      </c>
      <c r="B471" s="1" t="s">
        <v>2420</v>
      </c>
      <c r="C471" s="1" t="s">
        <v>1089</v>
      </c>
      <c r="D471" s="1" t="s">
        <v>1090</v>
      </c>
      <c r="E471" s="1" t="s">
        <v>1098</v>
      </c>
      <c r="F471" s="1" t="s">
        <v>1083</v>
      </c>
      <c r="G471" s="1" t="s">
        <v>1084</v>
      </c>
      <c r="H471">
        <v>54</v>
      </c>
      <c r="I471">
        <v>35978</v>
      </c>
      <c r="J471">
        <v>53931</v>
      </c>
      <c r="K471">
        <v>0</v>
      </c>
      <c r="L471" s="1" t="s">
        <v>1085</v>
      </c>
      <c r="M471" s="1" t="s">
        <v>1086</v>
      </c>
      <c r="N471" t="s">
        <v>1241</v>
      </c>
    </row>
    <row r="472" spans="1:14">
      <c r="A472" s="1" t="s">
        <v>2421</v>
      </c>
      <c r="B472" s="1" t="s">
        <v>2422</v>
      </c>
      <c r="C472" s="1" t="s">
        <v>1152</v>
      </c>
      <c r="D472" s="1" t="s">
        <v>1097</v>
      </c>
      <c r="E472" s="1" t="s">
        <v>1091</v>
      </c>
      <c r="F472" s="1" t="s">
        <v>1083</v>
      </c>
      <c r="G472" s="1" t="s">
        <v>1084</v>
      </c>
      <c r="H472">
        <v>51</v>
      </c>
      <c r="I472" t="s">
        <v>2423</v>
      </c>
      <c r="J472">
        <v>140668</v>
      </c>
      <c r="K472">
        <v>0.12</v>
      </c>
      <c r="L472" s="1" t="s">
        <v>1100</v>
      </c>
      <c r="M472" s="1" t="s">
        <v>1129</v>
      </c>
      <c r="N472" t="s">
        <v>1241</v>
      </c>
    </row>
    <row r="473" spans="1:14">
      <c r="A473" s="1" t="s">
        <v>2424</v>
      </c>
      <c r="B473" s="1" t="s">
        <v>2425</v>
      </c>
      <c r="C473" s="1" t="s">
        <v>1089</v>
      </c>
      <c r="D473" s="1" t="s">
        <v>1148</v>
      </c>
      <c r="E473" s="1" t="s">
        <v>1098</v>
      </c>
      <c r="F473" s="1" t="s">
        <v>1105</v>
      </c>
      <c r="G473" s="1" t="s">
        <v>1133</v>
      </c>
      <c r="H473">
        <v>33</v>
      </c>
      <c r="I473" t="s">
        <v>2426</v>
      </c>
      <c r="J473">
        <v>53948</v>
      </c>
      <c r="K473">
        <v>0</v>
      </c>
      <c r="L473" s="1" t="s">
        <v>1085</v>
      </c>
      <c r="M473" s="1" t="s">
        <v>1116</v>
      </c>
      <c r="N473" t="s">
        <v>1241</v>
      </c>
    </row>
    <row r="474" spans="1:14">
      <c r="A474" s="1" t="s">
        <v>2427</v>
      </c>
      <c r="B474" s="1" t="s">
        <v>2428</v>
      </c>
      <c r="C474" s="1" t="s">
        <v>1110</v>
      </c>
      <c r="D474" s="1" t="s">
        <v>1097</v>
      </c>
      <c r="E474" s="1" t="s">
        <v>1098</v>
      </c>
      <c r="F474" s="1" t="s">
        <v>1083</v>
      </c>
      <c r="G474" s="1" t="s">
        <v>1133</v>
      </c>
      <c r="H474">
        <v>34</v>
      </c>
      <c r="I474">
        <v>43073</v>
      </c>
      <c r="J474">
        <v>174257</v>
      </c>
      <c r="K474">
        <v>0.3</v>
      </c>
      <c r="L474" s="1" t="s">
        <v>1085</v>
      </c>
      <c r="M474" s="1" t="s">
        <v>1137</v>
      </c>
      <c r="N474" t="s">
        <v>1241</v>
      </c>
    </row>
    <row r="475" spans="1:14">
      <c r="A475" s="1" t="s">
        <v>2429</v>
      </c>
      <c r="B475" s="1" t="s">
        <v>2430</v>
      </c>
      <c r="C475" s="1" t="s">
        <v>1152</v>
      </c>
      <c r="D475" s="1" t="s">
        <v>1090</v>
      </c>
      <c r="E475" s="1" t="s">
        <v>1091</v>
      </c>
      <c r="F475" s="1" t="s">
        <v>1105</v>
      </c>
      <c r="G475" s="1" t="s">
        <v>1106</v>
      </c>
      <c r="H475">
        <v>28</v>
      </c>
      <c r="I475" t="s">
        <v>2431</v>
      </c>
      <c r="J475">
        <v>132209</v>
      </c>
      <c r="K475">
        <v>0.14000000000000001</v>
      </c>
      <c r="L475" s="1" t="s">
        <v>1221</v>
      </c>
      <c r="M475" s="1" t="s">
        <v>1222</v>
      </c>
      <c r="N475" t="s">
        <v>1241</v>
      </c>
    </row>
    <row r="476" spans="1:14">
      <c r="A476" s="1" t="s">
        <v>2432</v>
      </c>
      <c r="B476" s="1" t="s">
        <v>2433</v>
      </c>
      <c r="C476" s="1" t="s">
        <v>1160</v>
      </c>
      <c r="D476" s="1" t="s">
        <v>1148</v>
      </c>
      <c r="E476" s="1" t="s">
        <v>1098</v>
      </c>
      <c r="F476" s="1" t="s">
        <v>1105</v>
      </c>
      <c r="G476" s="1" t="s">
        <v>1106</v>
      </c>
      <c r="H476">
        <v>34</v>
      </c>
      <c r="I476" t="s">
        <v>2434</v>
      </c>
      <c r="J476">
        <v>208883</v>
      </c>
      <c r="K476">
        <v>0.38</v>
      </c>
      <c r="L476" s="1" t="s">
        <v>1085</v>
      </c>
      <c r="M476" s="1" t="s">
        <v>1137</v>
      </c>
      <c r="N476" t="s">
        <v>1241</v>
      </c>
    </row>
    <row r="477" spans="1:14">
      <c r="A477" s="1" t="s">
        <v>2435</v>
      </c>
      <c r="B477" s="1" t="s">
        <v>2436</v>
      </c>
      <c r="C477" s="1" t="s">
        <v>1294</v>
      </c>
      <c r="D477" s="1" t="s">
        <v>1097</v>
      </c>
      <c r="E477" s="1" t="s">
        <v>1121</v>
      </c>
      <c r="F477" s="1" t="s">
        <v>1105</v>
      </c>
      <c r="G477" s="1" t="s">
        <v>1106</v>
      </c>
      <c r="H477">
        <v>39</v>
      </c>
      <c r="I477">
        <v>44686</v>
      </c>
      <c r="J477">
        <v>65957</v>
      </c>
      <c r="K477">
        <v>0.05</v>
      </c>
      <c r="L477" s="1" t="s">
        <v>1221</v>
      </c>
      <c r="M477" s="1" t="s">
        <v>1222</v>
      </c>
      <c r="N477" t="s">
        <v>1241</v>
      </c>
    </row>
    <row r="478" spans="1:14">
      <c r="A478" s="1" t="s">
        <v>2437</v>
      </c>
      <c r="B478" s="1" t="s">
        <v>2438</v>
      </c>
      <c r="C478" s="1" t="s">
        <v>1136</v>
      </c>
      <c r="D478" s="1" t="s">
        <v>1208</v>
      </c>
      <c r="E478" s="1" t="s">
        <v>1121</v>
      </c>
      <c r="F478" s="1" t="s">
        <v>1083</v>
      </c>
      <c r="G478" s="1" t="s">
        <v>1084</v>
      </c>
      <c r="H478">
        <v>63</v>
      </c>
      <c r="I478" t="s">
        <v>2439</v>
      </c>
      <c r="J478">
        <v>106481</v>
      </c>
      <c r="K478">
        <v>0.05</v>
      </c>
      <c r="L478" s="1" t="s">
        <v>1100</v>
      </c>
      <c r="M478" s="1" t="s">
        <v>1188</v>
      </c>
      <c r="N478" t="s">
        <v>1241</v>
      </c>
    </row>
    <row r="479" spans="1:14">
      <c r="A479" s="1" t="s">
        <v>2440</v>
      </c>
      <c r="B479" s="1" t="s">
        <v>2441</v>
      </c>
      <c r="C479" s="1" t="s">
        <v>1160</v>
      </c>
      <c r="D479" s="1" t="s">
        <v>1120</v>
      </c>
      <c r="E479" s="1" t="s">
        <v>1082</v>
      </c>
      <c r="F479" s="1" t="s">
        <v>1105</v>
      </c>
      <c r="G479" s="1" t="s">
        <v>1084</v>
      </c>
      <c r="H479">
        <v>35</v>
      </c>
      <c r="I479">
        <v>43959</v>
      </c>
      <c r="J479">
        <v>218127</v>
      </c>
      <c r="K479">
        <v>0.37</v>
      </c>
      <c r="L479" s="1" t="s">
        <v>1085</v>
      </c>
      <c r="M479" s="1" t="s">
        <v>1093</v>
      </c>
      <c r="N479" t="s">
        <v>1241</v>
      </c>
    </row>
    <row r="480" spans="1:14">
      <c r="A480" s="1" t="s">
        <v>2442</v>
      </c>
      <c r="B480" s="1" t="s">
        <v>2443</v>
      </c>
      <c r="C480" s="1" t="s">
        <v>1152</v>
      </c>
      <c r="D480" s="1" t="s">
        <v>1097</v>
      </c>
      <c r="E480" s="1" t="s">
        <v>1121</v>
      </c>
      <c r="F480" s="1" t="s">
        <v>1083</v>
      </c>
      <c r="G480" s="1" t="s">
        <v>1133</v>
      </c>
      <c r="H480">
        <v>44</v>
      </c>
      <c r="I480" t="s">
        <v>2444</v>
      </c>
      <c r="J480">
        <v>151481</v>
      </c>
      <c r="K480">
        <v>0.11</v>
      </c>
      <c r="L480" s="1" t="s">
        <v>1085</v>
      </c>
      <c r="M480" s="1" t="s">
        <v>1093</v>
      </c>
      <c r="N480" t="s">
        <v>1241</v>
      </c>
    </row>
    <row r="481" spans="1:14">
      <c r="A481" s="1" t="s">
        <v>2445</v>
      </c>
      <c r="B481" s="1" t="s">
        <v>2446</v>
      </c>
      <c r="C481" s="1" t="s">
        <v>1089</v>
      </c>
      <c r="D481" s="1" t="s">
        <v>1090</v>
      </c>
      <c r="E481" s="1" t="s">
        <v>1098</v>
      </c>
      <c r="F481" s="1" t="s">
        <v>1105</v>
      </c>
      <c r="G481" s="1" t="s">
        <v>1084</v>
      </c>
      <c r="H481">
        <v>37</v>
      </c>
      <c r="I481">
        <v>42950</v>
      </c>
      <c r="J481">
        <v>40508</v>
      </c>
      <c r="K481">
        <v>0</v>
      </c>
      <c r="L481" s="1" t="s">
        <v>1100</v>
      </c>
      <c r="M481" s="1" t="s">
        <v>1188</v>
      </c>
      <c r="N481" t="s">
        <v>1241</v>
      </c>
    </row>
    <row r="482" spans="1:14">
      <c r="A482" s="1" t="s">
        <v>2447</v>
      </c>
      <c r="B482" s="1" t="s">
        <v>2448</v>
      </c>
      <c r="C482" s="1" t="s">
        <v>1160</v>
      </c>
      <c r="D482" s="1" t="s">
        <v>1120</v>
      </c>
      <c r="E482" s="1" t="s">
        <v>1098</v>
      </c>
      <c r="F482" s="1" t="s">
        <v>1105</v>
      </c>
      <c r="G482" s="1" t="s">
        <v>1084</v>
      </c>
      <c r="H482">
        <v>45</v>
      </c>
      <c r="I482" t="s">
        <v>2449</v>
      </c>
      <c r="J482">
        <v>200481</v>
      </c>
      <c r="K482">
        <v>0.3</v>
      </c>
      <c r="L482" s="1" t="s">
        <v>1085</v>
      </c>
      <c r="M482" s="1" t="s">
        <v>1086</v>
      </c>
      <c r="N482" t="s">
        <v>1241</v>
      </c>
    </row>
    <row r="483" spans="1:14">
      <c r="A483" s="1" t="s">
        <v>2450</v>
      </c>
      <c r="B483" s="1" t="s">
        <v>2451</v>
      </c>
      <c r="C483" s="1" t="s">
        <v>1160</v>
      </c>
      <c r="D483" s="1" t="s">
        <v>1127</v>
      </c>
      <c r="E483" s="1" t="s">
        <v>1082</v>
      </c>
      <c r="F483" s="1" t="s">
        <v>1105</v>
      </c>
      <c r="G483" s="1" t="s">
        <v>1106</v>
      </c>
      <c r="H483">
        <v>65</v>
      </c>
      <c r="I483" t="s">
        <v>2452</v>
      </c>
      <c r="J483">
        <v>224872</v>
      </c>
      <c r="K483">
        <v>0.39</v>
      </c>
      <c r="L483" s="1" t="s">
        <v>1221</v>
      </c>
      <c r="M483" s="1" t="s">
        <v>1298</v>
      </c>
      <c r="N483" t="s">
        <v>1241</v>
      </c>
    </row>
    <row r="484" spans="1:14">
      <c r="A484" s="1" t="s">
        <v>2453</v>
      </c>
      <c r="B484" s="1" t="s">
        <v>2454</v>
      </c>
      <c r="C484" s="1" t="s">
        <v>1152</v>
      </c>
      <c r="D484" s="1" t="s">
        <v>1208</v>
      </c>
      <c r="E484" s="1" t="s">
        <v>1098</v>
      </c>
      <c r="F484" s="1" t="s">
        <v>1083</v>
      </c>
      <c r="G484" s="1" t="s">
        <v>1153</v>
      </c>
      <c r="H484">
        <v>65</v>
      </c>
      <c r="I484">
        <v>39213</v>
      </c>
      <c r="J484">
        <v>149474</v>
      </c>
      <c r="K484">
        <v>0.14000000000000001</v>
      </c>
      <c r="L484" s="1" t="s">
        <v>1085</v>
      </c>
      <c r="M484" s="1" t="s">
        <v>1116</v>
      </c>
      <c r="N484" t="s">
        <v>1241</v>
      </c>
    </row>
    <row r="485" spans="1:14">
      <c r="A485" s="1" t="s">
        <v>2455</v>
      </c>
      <c r="B485" s="1" t="s">
        <v>2456</v>
      </c>
      <c r="C485" s="1" t="s">
        <v>1216</v>
      </c>
      <c r="D485" s="1" t="s">
        <v>1081</v>
      </c>
      <c r="E485" s="1" t="s">
        <v>1098</v>
      </c>
      <c r="F485" s="1" t="s">
        <v>1105</v>
      </c>
      <c r="G485" s="1" t="s">
        <v>1106</v>
      </c>
      <c r="H485">
        <v>63</v>
      </c>
      <c r="I485" t="s">
        <v>2457</v>
      </c>
      <c r="J485">
        <v>86820</v>
      </c>
      <c r="K485">
        <v>0</v>
      </c>
      <c r="L485" s="1" t="s">
        <v>1085</v>
      </c>
      <c r="M485" s="1" t="s">
        <v>1093</v>
      </c>
      <c r="N485" t="s">
        <v>1241</v>
      </c>
    </row>
    <row r="486" spans="1:14">
      <c r="A486" s="1" t="s">
        <v>2458</v>
      </c>
      <c r="B486" s="1" t="s">
        <v>2459</v>
      </c>
      <c r="C486" s="1" t="s">
        <v>1110</v>
      </c>
      <c r="D486" s="1" t="s">
        <v>1127</v>
      </c>
      <c r="E486" s="1" t="s">
        <v>1082</v>
      </c>
      <c r="F486" s="1" t="s">
        <v>1105</v>
      </c>
      <c r="G486" s="1" t="s">
        <v>1084</v>
      </c>
      <c r="H486">
        <v>55</v>
      </c>
      <c r="I486">
        <v>34557</v>
      </c>
      <c r="J486">
        <v>184078</v>
      </c>
      <c r="K486">
        <v>0.28000000000000003</v>
      </c>
      <c r="L486" s="1" t="s">
        <v>1100</v>
      </c>
      <c r="M486" s="1" t="s">
        <v>1101</v>
      </c>
      <c r="N486" t="s">
        <v>1241</v>
      </c>
    </row>
    <row r="487" spans="1:14">
      <c r="A487" s="1" t="s">
        <v>2460</v>
      </c>
      <c r="B487" s="1" t="s">
        <v>2461</v>
      </c>
      <c r="C487" s="1" t="s">
        <v>1089</v>
      </c>
      <c r="D487" s="1" t="s">
        <v>1120</v>
      </c>
      <c r="E487" s="1" t="s">
        <v>1091</v>
      </c>
      <c r="F487" s="1" t="s">
        <v>1105</v>
      </c>
      <c r="G487" s="1" t="s">
        <v>1084</v>
      </c>
      <c r="H487">
        <v>58</v>
      </c>
      <c r="I487" t="s">
        <v>2462</v>
      </c>
      <c r="J487">
        <v>55174</v>
      </c>
      <c r="K487">
        <v>0</v>
      </c>
      <c r="L487" s="1" t="s">
        <v>1085</v>
      </c>
      <c r="M487" s="1" t="s">
        <v>1112</v>
      </c>
      <c r="N487" t="s">
        <v>1241</v>
      </c>
    </row>
    <row r="488" spans="1:14">
      <c r="A488" s="1" t="s">
        <v>2463</v>
      </c>
      <c r="B488" s="1" t="s">
        <v>2464</v>
      </c>
      <c r="C488" s="1" t="s">
        <v>1110</v>
      </c>
      <c r="D488" s="1" t="s">
        <v>1127</v>
      </c>
      <c r="E488" s="1" t="s">
        <v>1091</v>
      </c>
      <c r="F488" s="1" t="s">
        <v>1105</v>
      </c>
      <c r="G488" s="1" t="s">
        <v>1084</v>
      </c>
      <c r="H488">
        <v>31</v>
      </c>
      <c r="I488" t="s">
        <v>2465</v>
      </c>
      <c r="J488">
        <v>152474</v>
      </c>
      <c r="K488">
        <v>0.27</v>
      </c>
      <c r="L488" s="1" t="s">
        <v>1085</v>
      </c>
      <c r="M488" s="1" t="s">
        <v>1112</v>
      </c>
      <c r="N488" t="s">
        <v>1241</v>
      </c>
    </row>
    <row r="489" spans="1:14">
      <c r="A489" s="1" t="s">
        <v>2466</v>
      </c>
      <c r="B489" s="1" t="s">
        <v>2467</v>
      </c>
      <c r="C489" s="1" t="s">
        <v>1096</v>
      </c>
      <c r="D489" s="1" t="s">
        <v>1097</v>
      </c>
      <c r="E489" s="1" t="s">
        <v>1121</v>
      </c>
      <c r="F489" s="1" t="s">
        <v>1105</v>
      </c>
      <c r="G489" s="1" t="s">
        <v>1084</v>
      </c>
      <c r="H489">
        <v>28</v>
      </c>
      <c r="I489" t="s">
        <v>2468</v>
      </c>
      <c r="J489">
        <v>75172</v>
      </c>
      <c r="K489">
        <v>0</v>
      </c>
      <c r="L489" s="1" t="s">
        <v>1100</v>
      </c>
      <c r="M489" s="1" t="s">
        <v>1101</v>
      </c>
      <c r="N489" t="s">
        <v>1241</v>
      </c>
    </row>
    <row r="490" spans="1:14">
      <c r="A490" s="1" t="s">
        <v>2469</v>
      </c>
      <c r="B490" s="1" t="s">
        <v>2470</v>
      </c>
      <c r="C490" s="1" t="s">
        <v>1213</v>
      </c>
      <c r="D490" s="1" t="s">
        <v>1208</v>
      </c>
      <c r="E490" s="1" t="s">
        <v>1082</v>
      </c>
      <c r="F490" s="1" t="s">
        <v>1105</v>
      </c>
      <c r="G490" s="1" t="s">
        <v>1106</v>
      </c>
      <c r="H490">
        <v>50</v>
      </c>
      <c r="I490">
        <v>39729</v>
      </c>
      <c r="J490">
        <v>56002</v>
      </c>
      <c r="K490">
        <v>0</v>
      </c>
      <c r="L490" s="1" t="s">
        <v>1085</v>
      </c>
      <c r="M490" s="1" t="s">
        <v>1112</v>
      </c>
      <c r="N490" t="s">
        <v>1241</v>
      </c>
    </row>
    <row r="491" spans="1:14">
      <c r="A491" s="1" t="s">
        <v>2471</v>
      </c>
      <c r="B491" s="1" t="s">
        <v>2472</v>
      </c>
      <c r="C491" s="1" t="s">
        <v>1110</v>
      </c>
      <c r="D491" s="1" t="s">
        <v>1090</v>
      </c>
      <c r="E491" s="1" t="s">
        <v>1098</v>
      </c>
      <c r="F491" s="1" t="s">
        <v>1105</v>
      </c>
      <c r="G491" s="1" t="s">
        <v>1106</v>
      </c>
      <c r="H491">
        <v>61</v>
      </c>
      <c r="I491" t="s">
        <v>2243</v>
      </c>
      <c r="J491">
        <v>195636</v>
      </c>
      <c r="K491">
        <v>0.21</v>
      </c>
      <c r="L491" s="1" t="s">
        <v>1221</v>
      </c>
      <c r="M491" s="1" t="s">
        <v>1222</v>
      </c>
      <c r="N491" t="s">
        <v>1241</v>
      </c>
    </row>
    <row r="492" spans="1:14">
      <c r="A492" s="1" t="s">
        <v>2473</v>
      </c>
      <c r="B492" s="1" t="s">
        <v>2474</v>
      </c>
      <c r="C492" s="1" t="s">
        <v>1285</v>
      </c>
      <c r="D492" s="1" t="s">
        <v>1097</v>
      </c>
      <c r="E492" s="1" t="s">
        <v>1121</v>
      </c>
      <c r="F492" s="1" t="s">
        <v>1083</v>
      </c>
      <c r="G492" s="1" t="s">
        <v>1133</v>
      </c>
      <c r="H492">
        <v>53</v>
      </c>
      <c r="I492">
        <v>35433</v>
      </c>
      <c r="J492">
        <v>63165</v>
      </c>
      <c r="K492">
        <v>0</v>
      </c>
      <c r="L492" s="1" t="s">
        <v>1085</v>
      </c>
      <c r="M492" s="1" t="s">
        <v>1107</v>
      </c>
      <c r="N492" t="s">
        <v>1241</v>
      </c>
    </row>
    <row r="493" spans="1:14">
      <c r="A493" s="1" t="s">
        <v>2475</v>
      </c>
      <c r="B493" s="1" t="s">
        <v>2476</v>
      </c>
      <c r="C493" s="1" t="s">
        <v>1089</v>
      </c>
      <c r="D493" s="1" t="s">
        <v>1090</v>
      </c>
      <c r="E493" s="1" t="s">
        <v>1098</v>
      </c>
      <c r="F493" s="1" t="s">
        <v>1105</v>
      </c>
      <c r="G493" s="1" t="s">
        <v>1084</v>
      </c>
      <c r="H493">
        <v>51</v>
      </c>
      <c r="I493" t="s">
        <v>2477</v>
      </c>
      <c r="J493">
        <v>57277</v>
      </c>
      <c r="K493">
        <v>0</v>
      </c>
      <c r="L493" s="1" t="s">
        <v>1100</v>
      </c>
      <c r="M493" s="1" t="s">
        <v>1101</v>
      </c>
      <c r="N493" t="s">
        <v>1241</v>
      </c>
    </row>
    <row r="494" spans="1:14">
      <c r="A494" s="1" t="s">
        <v>2478</v>
      </c>
      <c r="B494" s="1" t="s">
        <v>2479</v>
      </c>
      <c r="C494" s="1" t="s">
        <v>1089</v>
      </c>
      <c r="D494" s="1" t="s">
        <v>1127</v>
      </c>
      <c r="E494" s="1" t="s">
        <v>1121</v>
      </c>
      <c r="F494" s="1" t="s">
        <v>1105</v>
      </c>
      <c r="G494" s="1" t="s">
        <v>1106</v>
      </c>
      <c r="H494">
        <v>56</v>
      </c>
      <c r="I494" t="s">
        <v>2480</v>
      </c>
      <c r="J494">
        <v>42950</v>
      </c>
      <c r="K494">
        <v>0</v>
      </c>
      <c r="L494" s="1" t="s">
        <v>1221</v>
      </c>
      <c r="M494" s="1" t="s">
        <v>1222</v>
      </c>
      <c r="N494" t="s">
        <v>1241</v>
      </c>
    </row>
    <row r="495" spans="1:14">
      <c r="A495" s="1" t="s">
        <v>2481</v>
      </c>
      <c r="B495" s="1" t="s">
        <v>2482</v>
      </c>
      <c r="C495" s="1" t="s">
        <v>1110</v>
      </c>
      <c r="D495" s="1" t="s">
        <v>1097</v>
      </c>
      <c r="E495" s="1" t="s">
        <v>1098</v>
      </c>
      <c r="F495" s="1" t="s">
        <v>1083</v>
      </c>
      <c r="G495" s="1" t="s">
        <v>1106</v>
      </c>
      <c r="H495">
        <v>38</v>
      </c>
      <c r="I495">
        <v>43353</v>
      </c>
      <c r="J495">
        <v>168410</v>
      </c>
      <c r="K495">
        <v>0.3</v>
      </c>
      <c r="L495" s="1" t="s">
        <v>1085</v>
      </c>
      <c r="M495" s="1" t="s">
        <v>1093</v>
      </c>
      <c r="N495" t="s">
        <v>1241</v>
      </c>
    </row>
    <row r="496" spans="1:14">
      <c r="A496" s="1" t="s">
        <v>2483</v>
      </c>
      <c r="B496" s="1" t="s">
        <v>2484</v>
      </c>
      <c r="C496" s="1" t="s">
        <v>1136</v>
      </c>
      <c r="D496" s="1" t="s">
        <v>1097</v>
      </c>
      <c r="E496" s="1" t="s">
        <v>1091</v>
      </c>
      <c r="F496" s="1" t="s">
        <v>1105</v>
      </c>
      <c r="G496" s="1" t="s">
        <v>1133</v>
      </c>
      <c r="H496">
        <v>41</v>
      </c>
      <c r="I496">
        <v>39786</v>
      </c>
      <c r="J496">
        <v>114588</v>
      </c>
      <c r="K496">
        <v>0.05</v>
      </c>
      <c r="L496" s="1" t="s">
        <v>1085</v>
      </c>
      <c r="M496" s="1" t="s">
        <v>1137</v>
      </c>
      <c r="N496" t="s">
        <v>1241</v>
      </c>
    </row>
    <row r="497" spans="1:14">
      <c r="A497" s="1" t="s">
        <v>2485</v>
      </c>
      <c r="B497" s="1" t="s">
        <v>2486</v>
      </c>
      <c r="C497" s="1" t="s">
        <v>1119</v>
      </c>
      <c r="D497" s="1" t="s">
        <v>1090</v>
      </c>
      <c r="E497" s="1" t="s">
        <v>1121</v>
      </c>
      <c r="F497" s="1" t="s">
        <v>1105</v>
      </c>
      <c r="G497" s="1" t="s">
        <v>1084</v>
      </c>
      <c r="H497">
        <v>61</v>
      </c>
      <c r="I497">
        <v>35769</v>
      </c>
      <c r="J497">
        <v>72546</v>
      </c>
      <c r="K497">
        <v>0</v>
      </c>
      <c r="L497" s="1" t="s">
        <v>1100</v>
      </c>
      <c r="M497" s="1" t="s">
        <v>1188</v>
      </c>
      <c r="N497" t="s">
        <v>2487</v>
      </c>
    </row>
    <row r="498" spans="1:14">
      <c r="A498" s="1" t="s">
        <v>2488</v>
      </c>
      <c r="B498" s="1" t="s">
        <v>2489</v>
      </c>
      <c r="C498" s="1" t="s">
        <v>1089</v>
      </c>
      <c r="D498" s="1" t="s">
        <v>1090</v>
      </c>
      <c r="E498" s="1" t="s">
        <v>1091</v>
      </c>
      <c r="F498" s="1" t="s">
        <v>1083</v>
      </c>
      <c r="G498" s="1" t="s">
        <v>1084</v>
      </c>
      <c r="H498">
        <v>33</v>
      </c>
      <c r="I498">
        <v>44440</v>
      </c>
      <c r="J498">
        <v>55397</v>
      </c>
      <c r="K498">
        <v>0</v>
      </c>
      <c r="L498" s="1" t="s">
        <v>1100</v>
      </c>
      <c r="M498" s="1" t="s">
        <v>1101</v>
      </c>
      <c r="N498" t="s">
        <v>1241</v>
      </c>
    </row>
    <row r="499" spans="1:14">
      <c r="A499" s="1" t="s">
        <v>2490</v>
      </c>
      <c r="B499" s="1" t="s">
        <v>2491</v>
      </c>
      <c r="C499" s="1" t="s">
        <v>1110</v>
      </c>
      <c r="D499" s="1" t="s">
        <v>1148</v>
      </c>
      <c r="E499" s="1" t="s">
        <v>1091</v>
      </c>
      <c r="F499" s="1" t="s">
        <v>1105</v>
      </c>
      <c r="G499" s="1" t="s">
        <v>1084</v>
      </c>
      <c r="H499">
        <v>41</v>
      </c>
      <c r="I499">
        <v>44325</v>
      </c>
      <c r="J499">
        <v>192266</v>
      </c>
      <c r="K499">
        <v>0.23</v>
      </c>
      <c r="L499" s="1" t="s">
        <v>1100</v>
      </c>
      <c r="M499" s="1" t="s">
        <v>1129</v>
      </c>
      <c r="N499" t="s">
        <v>1241</v>
      </c>
    </row>
    <row r="500" spans="1:14">
      <c r="A500" s="1" t="s">
        <v>2492</v>
      </c>
      <c r="B500" s="1" t="s">
        <v>2493</v>
      </c>
      <c r="C500" s="1" t="s">
        <v>1132</v>
      </c>
      <c r="D500" s="1" t="s">
        <v>1097</v>
      </c>
      <c r="E500" s="1" t="s">
        <v>1082</v>
      </c>
      <c r="F500" s="1" t="s">
        <v>1105</v>
      </c>
      <c r="G500" s="1" t="s">
        <v>1084</v>
      </c>
      <c r="H500">
        <v>36</v>
      </c>
      <c r="I500" t="s">
        <v>2494</v>
      </c>
      <c r="J500">
        <v>79876</v>
      </c>
      <c r="K500">
        <v>0</v>
      </c>
      <c r="L500" s="1" t="s">
        <v>1085</v>
      </c>
      <c r="M500" s="1" t="s">
        <v>1107</v>
      </c>
      <c r="N500">
        <v>44959</v>
      </c>
    </row>
    <row r="501" spans="1:14">
      <c r="A501" s="1" t="s">
        <v>2495</v>
      </c>
      <c r="B501" s="1" t="s">
        <v>2496</v>
      </c>
      <c r="C501" s="1" t="s">
        <v>1136</v>
      </c>
      <c r="D501" s="1" t="s">
        <v>1090</v>
      </c>
      <c r="E501" s="1" t="s">
        <v>1091</v>
      </c>
      <c r="F501" s="1" t="s">
        <v>1105</v>
      </c>
      <c r="G501" s="1" t="s">
        <v>1084</v>
      </c>
      <c r="H501">
        <v>42</v>
      </c>
      <c r="I501">
        <v>43254</v>
      </c>
      <c r="J501">
        <v>112593</v>
      </c>
      <c r="K501">
        <v>0.05</v>
      </c>
      <c r="L501" s="1" t="s">
        <v>1085</v>
      </c>
      <c r="M501" s="1" t="s">
        <v>1107</v>
      </c>
      <c r="N501" t="s">
        <v>1241</v>
      </c>
    </row>
    <row r="502" spans="1:14">
      <c r="A502" s="1" t="s">
        <v>2497</v>
      </c>
      <c r="B502" s="1" t="s">
        <v>2498</v>
      </c>
      <c r="C502" s="1" t="s">
        <v>1132</v>
      </c>
      <c r="D502" s="1" t="s">
        <v>1097</v>
      </c>
      <c r="E502" s="1" t="s">
        <v>1082</v>
      </c>
      <c r="F502" s="1" t="s">
        <v>1105</v>
      </c>
      <c r="G502" s="1" t="s">
        <v>1133</v>
      </c>
      <c r="H502">
        <v>36</v>
      </c>
      <c r="I502">
        <v>42440</v>
      </c>
      <c r="J502">
        <v>99249</v>
      </c>
      <c r="K502">
        <v>0</v>
      </c>
      <c r="L502" s="1" t="s">
        <v>1085</v>
      </c>
      <c r="M502" s="1" t="s">
        <v>1137</v>
      </c>
      <c r="N502" t="s">
        <v>1241</v>
      </c>
    </row>
    <row r="503" spans="1:14">
      <c r="A503" s="1" t="s">
        <v>2499</v>
      </c>
      <c r="B503" s="1" t="s">
        <v>2500</v>
      </c>
      <c r="C503" s="1" t="s">
        <v>1136</v>
      </c>
      <c r="D503" s="1" t="s">
        <v>1127</v>
      </c>
      <c r="E503" s="1" t="s">
        <v>1082</v>
      </c>
      <c r="F503" s="1" t="s">
        <v>1105</v>
      </c>
      <c r="G503" s="1" t="s">
        <v>1133</v>
      </c>
      <c r="H503">
        <v>55</v>
      </c>
      <c r="I503">
        <v>41251</v>
      </c>
      <c r="J503">
        <v>117421</v>
      </c>
      <c r="K503">
        <v>0.05</v>
      </c>
      <c r="L503" s="1" t="s">
        <v>1085</v>
      </c>
      <c r="M503" s="1" t="s">
        <v>1112</v>
      </c>
      <c r="N503" t="s">
        <v>2501</v>
      </c>
    </row>
    <row r="504" spans="1:14">
      <c r="A504" s="1" t="s">
        <v>2502</v>
      </c>
      <c r="B504" s="1" t="s">
        <v>2503</v>
      </c>
      <c r="C504" s="1" t="s">
        <v>1446</v>
      </c>
      <c r="D504" s="1" t="s">
        <v>1081</v>
      </c>
      <c r="E504" s="1" t="s">
        <v>1091</v>
      </c>
      <c r="F504" s="1" t="s">
        <v>1105</v>
      </c>
      <c r="G504" s="1" t="s">
        <v>1084</v>
      </c>
      <c r="H504">
        <v>44</v>
      </c>
      <c r="I504" t="s">
        <v>2504</v>
      </c>
      <c r="J504">
        <v>82241</v>
      </c>
      <c r="K504">
        <v>0</v>
      </c>
      <c r="L504" s="1" t="s">
        <v>1100</v>
      </c>
      <c r="M504" s="1" t="s">
        <v>1101</v>
      </c>
      <c r="N504" t="s">
        <v>1241</v>
      </c>
    </row>
    <row r="505" spans="1:14">
      <c r="A505" s="1" t="s">
        <v>2505</v>
      </c>
      <c r="B505" s="1" t="s">
        <v>2506</v>
      </c>
      <c r="C505" s="1" t="s">
        <v>1136</v>
      </c>
      <c r="D505" s="1" t="s">
        <v>1148</v>
      </c>
      <c r="E505" s="1" t="s">
        <v>1098</v>
      </c>
      <c r="F505" s="1" t="s">
        <v>1083</v>
      </c>
      <c r="G505" s="1" t="s">
        <v>1106</v>
      </c>
      <c r="H505">
        <v>31</v>
      </c>
      <c r="I505" t="s">
        <v>2507</v>
      </c>
      <c r="J505">
        <v>125664</v>
      </c>
      <c r="K505">
        <v>0.05</v>
      </c>
      <c r="L505" s="1" t="s">
        <v>1221</v>
      </c>
      <c r="M505" s="1" t="s">
        <v>1443</v>
      </c>
      <c r="N505" t="s">
        <v>1241</v>
      </c>
    </row>
    <row r="506" spans="1:14">
      <c r="A506" s="1" t="s">
        <v>2508</v>
      </c>
      <c r="B506" s="1" t="s">
        <v>2509</v>
      </c>
      <c r="C506" s="1" t="s">
        <v>1177</v>
      </c>
      <c r="D506" s="1" t="s">
        <v>1090</v>
      </c>
      <c r="E506" s="1" t="s">
        <v>1098</v>
      </c>
      <c r="F506" s="1" t="s">
        <v>1083</v>
      </c>
      <c r="G506" s="1" t="s">
        <v>1084</v>
      </c>
      <c r="H506">
        <v>47</v>
      </c>
      <c r="I506">
        <v>41495</v>
      </c>
      <c r="J506">
        <v>57386</v>
      </c>
      <c r="K506">
        <v>0</v>
      </c>
      <c r="L506" s="1" t="s">
        <v>1100</v>
      </c>
      <c r="M506" s="1" t="s">
        <v>1188</v>
      </c>
      <c r="N506" t="s">
        <v>1241</v>
      </c>
    </row>
    <row r="507" spans="1:14">
      <c r="A507" s="1" t="s">
        <v>2510</v>
      </c>
      <c r="B507" s="1" t="s">
        <v>2511</v>
      </c>
      <c r="C507" s="1" t="s">
        <v>1160</v>
      </c>
      <c r="D507" s="1" t="s">
        <v>1081</v>
      </c>
      <c r="E507" s="1" t="s">
        <v>1091</v>
      </c>
      <c r="F507" s="1" t="s">
        <v>1105</v>
      </c>
      <c r="G507" s="1" t="s">
        <v>1153</v>
      </c>
      <c r="H507">
        <v>59</v>
      </c>
      <c r="I507">
        <v>37200</v>
      </c>
      <c r="J507">
        <v>196740</v>
      </c>
      <c r="K507">
        <v>0.31</v>
      </c>
      <c r="L507" s="1" t="s">
        <v>1085</v>
      </c>
      <c r="M507" s="1" t="s">
        <v>1137</v>
      </c>
      <c r="N507" t="s">
        <v>1241</v>
      </c>
    </row>
    <row r="508" spans="1:14">
      <c r="A508" s="1" t="s">
        <v>2512</v>
      </c>
      <c r="B508" s="1" t="s">
        <v>2513</v>
      </c>
      <c r="C508" s="1" t="s">
        <v>1110</v>
      </c>
      <c r="D508" s="1" t="s">
        <v>1208</v>
      </c>
      <c r="E508" s="1" t="s">
        <v>1121</v>
      </c>
      <c r="F508" s="1" t="s">
        <v>1105</v>
      </c>
      <c r="G508" s="1" t="s">
        <v>1084</v>
      </c>
      <c r="H508">
        <v>48</v>
      </c>
      <c r="I508" t="s">
        <v>2514</v>
      </c>
      <c r="J508">
        <v>168202</v>
      </c>
      <c r="K508">
        <v>0.22</v>
      </c>
      <c r="L508" s="1" t="s">
        <v>1100</v>
      </c>
      <c r="M508" s="1" t="s">
        <v>1129</v>
      </c>
      <c r="N508" t="s">
        <v>1241</v>
      </c>
    </row>
    <row r="509" spans="1:14">
      <c r="A509" s="1" t="s">
        <v>2515</v>
      </c>
      <c r="B509" s="1" t="s">
        <v>2516</v>
      </c>
      <c r="C509" s="1" t="s">
        <v>1160</v>
      </c>
      <c r="D509" s="1" t="s">
        <v>1208</v>
      </c>
      <c r="E509" s="1" t="s">
        <v>1121</v>
      </c>
      <c r="F509" s="1" t="s">
        <v>1105</v>
      </c>
      <c r="G509" s="1" t="s">
        <v>1084</v>
      </c>
      <c r="H509">
        <v>44</v>
      </c>
      <c r="I509">
        <v>39028</v>
      </c>
      <c r="J509">
        <v>242004</v>
      </c>
      <c r="K509">
        <v>0.38</v>
      </c>
      <c r="L509" s="1" t="s">
        <v>1100</v>
      </c>
      <c r="M509" s="1" t="s">
        <v>1123</v>
      </c>
      <c r="N509" t="s">
        <v>1241</v>
      </c>
    </row>
    <row r="510" spans="1:14">
      <c r="A510" s="1" t="s">
        <v>2517</v>
      </c>
      <c r="B510" s="1" t="s">
        <v>2518</v>
      </c>
      <c r="C510" s="1" t="s">
        <v>1177</v>
      </c>
      <c r="D510" s="1" t="s">
        <v>1090</v>
      </c>
      <c r="E510" s="1" t="s">
        <v>1082</v>
      </c>
      <c r="F510" s="1" t="s">
        <v>1105</v>
      </c>
      <c r="G510" s="1" t="s">
        <v>1084</v>
      </c>
      <c r="H510">
        <v>52</v>
      </c>
      <c r="I510" t="s">
        <v>2519</v>
      </c>
      <c r="J510">
        <v>57433</v>
      </c>
      <c r="K510">
        <v>0</v>
      </c>
      <c r="L510" s="1" t="s">
        <v>1100</v>
      </c>
      <c r="M510" s="1" t="s">
        <v>1101</v>
      </c>
      <c r="N510" t="s">
        <v>1241</v>
      </c>
    </row>
    <row r="511" spans="1:14">
      <c r="A511" s="1" t="s">
        <v>2520</v>
      </c>
      <c r="B511" s="1" t="s">
        <v>2521</v>
      </c>
      <c r="C511" s="1" t="s">
        <v>1119</v>
      </c>
      <c r="D511" s="1" t="s">
        <v>1120</v>
      </c>
      <c r="E511" s="1" t="s">
        <v>1121</v>
      </c>
      <c r="F511" s="1" t="s">
        <v>1083</v>
      </c>
      <c r="G511" s="1" t="s">
        <v>1106</v>
      </c>
      <c r="H511">
        <v>54</v>
      </c>
      <c r="I511">
        <v>40124</v>
      </c>
      <c r="J511">
        <v>74656</v>
      </c>
      <c r="K511">
        <v>0</v>
      </c>
      <c r="L511" s="1" t="s">
        <v>1085</v>
      </c>
      <c r="M511" s="1" t="s">
        <v>1107</v>
      </c>
      <c r="N511" t="s">
        <v>1241</v>
      </c>
    </row>
    <row r="512" spans="1:14">
      <c r="A512" s="1" t="s">
        <v>2522</v>
      </c>
      <c r="B512" s="1" t="s">
        <v>2523</v>
      </c>
      <c r="C512" s="1" t="s">
        <v>1384</v>
      </c>
      <c r="D512" s="1" t="s">
        <v>1208</v>
      </c>
      <c r="E512" s="1" t="s">
        <v>1098</v>
      </c>
      <c r="F512" s="1" t="s">
        <v>1105</v>
      </c>
      <c r="G512" s="1" t="s">
        <v>1084</v>
      </c>
      <c r="H512">
        <v>31</v>
      </c>
      <c r="I512" t="s">
        <v>2524</v>
      </c>
      <c r="J512">
        <v>62848</v>
      </c>
      <c r="K512">
        <v>0</v>
      </c>
      <c r="L512" s="1" t="s">
        <v>1100</v>
      </c>
      <c r="M512" s="1" t="s">
        <v>1129</v>
      </c>
      <c r="N512" t="s">
        <v>1241</v>
      </c>
    </row>
    <row r="513" spans="1:14">
      <c r="A513" s="1" t="s">
        <v>2525</v>
      </c>
      <c r="B513" s="1" t="s">
        <v>2526</v>
      </c>
      <c r="C513" s="1" t="s">
        <v>1285</v>
      </c>
      <c r="D513" s="1" t="s">
        <v>1097</v>
      </c>
      <c r="E513" s="1" t="s">
        <v>1098</v>
      </c>
      <c r="F513" s="1" t="s">
        <v>1083</v>
      </c>
      <c r="G513" s="1" t="s">
        <v>1084</v>
      </c>
      <c r="H513">
        <v>39</v>
      </c>
      <c r="I513">
        <v>40851</v>
      </c>
      <c r="J513">
        <v>92523</v>
      </c>
      <c r="K513">
        <v>0</v>
      </c>
      <c r="L513" s="1" t="s">
        <v>1085</v>
      </c>
      <c r="M513" s="1" t="s">
        <v>1137</v>
      </c>
      <c r="N513" t="s">
        <v>1241</v>
      </c>
    </row>
    <row r="514" spans="1:14">
      <c r="A514" s="1" t="s">
        <v>2527</v>
      </c>
      <c r="B514" s="1" t="s">
        <v>2528</v>
      </c>
      <c r="C514" s="1" t="s">
        <v>1152</v>
      </c>
      <c r="D514" s="1" t="s">
        <v>1097</v>
      </c>
      <c r="E514" s="1" t="s">
        <v>1121</v>
      </c>
      <c r="F514" s="1" t="s">
        <v>1083</v>
      </c>
      <c r="G514" s="1" t="s">
        <v>1084</v>
      </c>
      <c r="H514">
        <v>40</v>
      </c>
      <c r="I514" t="s">
        <v>2529</v>
      </c>
      <c r="J514">
        <v>142844</v>
      </c>
      <c r="K514">
        <v>0.11</v>
      </c>
      <c r="L514" s="1" t="s">
        <v>1085</v>
      </c>
      <c r="M514" s="1" t="s">
        <v>1137</v>
      </c>
      <c r="N514" t="s">
        <v>1241</v>
      </c>
    </row>
    <row r="515" spans="1:14">
      <c r="A515" s="1" t="s">
        <v>2530</v>
      </c>
      <c r="B515" s="1" t="s">
        <v>2531</v>
      </c>
      <c r="C515" s="1" t="s">
        <v>1136</v>
      </c>
      <c r="D515" s="1" t="s">
        <v>1090</v>
      </c>
      <c r="E515" s="1" t="s">
        <v>1091</v>
      </c>
      <c r="F515" s="1" t="s">
        <v>1083</v>
      </c>
      <c r="G515" s="1" t="s">
        <v>1133</v>
      </c>
      <c r="H515">
        <v>39</v>
      </c>
      <c r="I515" t="s">
        <v>2532</v>
      </c>
      <c r="J515">
        <v>100718</v>
      </c>
      <c r="K515">
        <v>0.05</v>
      </c>
      <c r="L515" s="1" t="s">
        <v>1085</v>
      </c>
      <c r="M515" s="1" t="s">
        <v>1112</v>
      </c>
      <c r="N515" t="s">
        <v>1241</v>
      </c>
    </row>
    <row r="516" spans="1:14">
      <c r="A516" s="1" t="s">
        <v>2533</v>
      </c>
      <c r="B516" s="1" t="s">
        <v>2534</v>
      </c>
      <c r="C516" s="1" t="s">
        <v>1110</v>
      </c>
      <c r="D516" s="1" t="s">
        <v>1097</v>
      </c>
      <c r="E516" s="1" t="s">
        <v>1098</v>
      </c>
      <c r="F516" s="1" t="s">
        <v>1083</v>
      </c>
      <c r="G516" s="1" t="s">
        <v>1133</v>
      </c>
      <c r="H516">
        <v>25</v>
      </c>
      <c r="I516" t="s">
        <v>2535</v>
      </c>
      <c r="J516">
        <v>154186</v>
      </c>
      <c r="K516">
        <v>0.26</v>
      </c>
      <c r="L516" s="1" t="s">
        <v>1085</v>
      </c>
      <c r="M516" s="1" t="s">
        <v>1112</v>
      </c>
      <c r="N516" t="s">
        <v>1241</v>
      </c>
    </row>
    <row r="517" spans="1:14">
      <c r="A517" s="1" t="s">
        <v>2536</v>
      </c>
      <c r="B517" s="1" t="s">
        <v>2537</v>
      </c>
      <c r="C517" s="1" t="s">
        <v>1632</v>
      </c>
      <c r="D517" s="1" t="s">
        <v>1081</v>
      </c>
      <c r="E517" s="1" t="s">
        <v>1098</v>
      </c>
      <c r="F517" s="1" t="s">
        <v>1083</v>
      </c>
      <c r="G517" s="1" t="s">
        <v>1084</v>
      </c>
      <c r="H517">
        <v>48</v>
      </c>
      <c r="I517" t="s">
        <v>2538</v>
      </c>
      <c r="J517">
        <v>107586</v>
      </c>
      <c r="K517">
        <v>0</v>
      </c>
      <c r="L517" s="1" t="s">
        <v>1100</v>
      </c>
      <c r="M517" s="1" t="s">
        <v>1101</v>
      </c>
      <c r="N517" t="s">
        <v>1241</v>
      </c>
    </row>
    <row r="518" spans="1:14">
      <c r="A518" s="1" t="s">
        <v>2539</v>
      </c>
      <c r="B518" s="1" t="s">
        <v>2540</v>
      </c>
      <c r="C518" s="1" t="s">
        <v>1560</v>
      </c>
      <c r="D518" s="1" t="s">
        <v>1097</v>
      </c>
      <c r="E518" s="1" t="s">
        <v>1098</v>
      </c>
      <c r="F518" s="1" t="s">
        <v>1105</v>
      </c>
      <c r="G518" s="1" t="s">
        <v>1106</v>
      </c>
      <c r="H518">
        <v>54</v>
      </c>
      <c r="I518" t="s">
        <v>2541</v>
      </c>
      <c r="J518">
        <v>88906</v>
      </c>
      <c r="K518">
        <v>0</v>
      </c>
      <c r="L518" s="1" t="s">
        <v>1085</v>
      </c>
      <c r="M518" s="1" t="s">
        <v>1116</v>
      </c>
      <c r="N518" t="s">
        <v>1241</v>
      </c>
    </row>
    <row r="519" spans="1:14">
      <c r="A519" s="1" t="s">
        <v>2542</v>
      </c>
      <c r="B519" s="1" t="s">
        <v>2543</v>
      </c>
      <c r="C519" s="1" t="s">
        <v>1446</v>
      </c>
      <c r="D519" s="1" t="s">
        <v>1081</v>
      </c>
      <c r="E519" s="1" t="s">
        <v>1082</v>
      </c>
      <c r="F519" s="1" t="s">
        <v>1105</v>
      </c>
      <c r="G519" s="1" t="s">
        <v>1133</v>
      </c>
      <c r="H519">
        <v>40</v>
      </c>
      <c r="I519">
        <v>43348</v>
      </c>
      <c r="J519">
        <v>74329</v>
      </c>
      <c r="K519">
        <v>0</v>
      </c>
      <c r="L519" s="1" t="s">
        <v>1085</v>
      </c>
      <c r="M519" s="1" t="s">
        <v>1093</v>
      </c>
      <c r="N519" t="s">
        <v>1241</v>
      </c>
    </row>
    <row r="520" spans="1:14">
      <c r="A520" s="1" t="s">
        <v>2544</v>
      </c>
      <c r="B520" s="1" t="s">
        <v>2545</v>
      </c>
      <c r="C520" s="1" t="s">
        <v>1528</v>
      </c>
      <c r="D520" s="1" t="s">
        <v>1097</v>
      </c>
      <c r="E520" s="1" t="s">
        <v>1082</v>
      </c>
      <c r="F520" s="1" t="s">
        <v>1083</v>
      </c>
      <c r="G520" s="1" t="s">
        <v>1133</v>
      </c>
      <c r="H520">
        <v>32</v>
      </c>
      <c r="I520" t="s">
        <v>2546</v>
      </c>
      <c r="J520">
        <v>86523</v>
      </c>
      <c r="K520">
        <v>0</v>
      </c>
      <c r="L520" s="1" t="s">
        <v>1085</v>
      </c>
      <c r="M520" s="1" t="s">
        <v>1086</v>
      </c>
      <c r="N520">
        <v>44388</v>
      </c>
    </row>
    <row r="521" spans="1:14">
      <c r="A521" s="1" t="s">
        <v>2547</v>
      </c>
      <c r="B521" s="1" t="s">
        <v>2548</v>
      </c>
      <c r="C521" s="1" t="s">
        <v>1160</v>
      </c>
      <c r="D521" s="1" t="s">
        <v>1097</v>
      </c>
      <c r="E521" s="1" t="s">
        <v>1082</v>
      </c>
      <c r="F521" s="1" t="s">
        <v>1083</v>
      </c>
      <c r="G521" s="1" t="s">
        <v>1106</v>
      </c>
      <c r="H521">
        <v>60</v>
      </c>
      <c r="I521">
        <v>41770</v>
      </c>
      <c r="J521">
        <v>239868</v>
      </c>
      <c r="K521">
        <v>0.4</v>
      </c>
      <c r="L521" s="1" t="s">
        <v>1085</v>
      </c>
      <c r="M521" s="1" t="s">
        <v>1137</v>
      </c>
      <c r="N521" t="s">
        <v>1241</v>
      </c>
    </row>
    <row r="522" spans="1:14">
      <c r="A522" s="1" t="s">
        <v>2549</v>
      </c>
      <c r="B522" s="1" t="s">
        <v>2550</v>
      </c>
      <c r="C522" s="1" t="s">
        <v>1126</v>
      </c>
      <c r="D522" s="1" t="s">
        <v>1127</v>
      </c>
      <c r="E522" s="1" t="s">
        <v>1121</v>
      </c>
      <c r="F522" s="1" t="s">
        <v>1105</v>
      </c>
      <c r="G522" s="1" t="s">
        <v>1106</v>
      </c>
      <c r="H522">
        <v>29</v>
      </c>
      <c r="I522" t="s">
        <v>2551</v>
      </c>
      <c r="J522">
        <v>65010</v>
      </c>
      <c r="K522">
        <v>0</v>
      </c>
      <c r="L522" s="1" t="s">
        <v>1085</v>
      </c>
      <c r="M522" s="1" t="s">
        <v>1107</v>
      </c>
      <c r="N522" t="s">
        <v>1241</v>
      </c>
    </row>
    <row r="523" spans="1:14">
      <c r="A523" s="1" t="s">
        <v>2552</v>
      </c>
      <c r="B523" s="1" t="s">
        <v>2553</v>
      </c>
      <c r="C523" s="1" t="s">
        <v>1096</v>
      </c>
      <c r="D523" s="1" t="s">
        <v>1097</v>
      </c>
      <c r="E523" s="1" t="s">
        <v>1091</v>
      </c>
      <c r="F523" s="1" t="s">
        <v>1105</v>
      </c>
      <c r="G523" s="1" t="s">
        <v>1133</v>
      </c>
      <c r="H523">
        <v>25</v>
      </c>
      <c r="I523" t="s">
        <v>2554</v>
      </c>
      <c r="J523">
        <v>82140</v>
      </c>
      <c r="K523">
        <v>0</v>
      </c>
      <c r="L523" s="1" t="s">
        <v>1085</v>
      </c>
      <c r="M523" s="1" t="s">
        <v>1137</v>
      </c>
      <c r="N523" t="s">
        <v>1241</v>
      </c>
    </row>
    <row r="524" spans="1:14">
      <c r="A524" s="1" t="s">
        <v>2555</v>
      </c>
      <c r="B524" s="1" t="s">
        <v>2556</v>
      </c>
      <c r="C524" s="1" t="s">
        <v>1358</v>
      </c>
      <c r="D524" s="1" t="s">
        <v>1097</v>
      </c>
      <c r="E524" s="1" t="s">
        <v>1082</v>
      </c>
      <c r="F524" s="1" t="s">
        <v>1083</v>
      </c>
      <c r="G524" s="1" t="s">
        <v>1106</v>
      </c>
      <c r="H524">
        <v>34</v>
      </c>
      <c r="I524">
        <v>42680</v>
      </c>
      <c r="J524">
        <v>75511</v>
      </c>
      <c r="K524">
        <v>0</v>
      </c>
      <c r="L524" s="1" t="s">
        <v>1221</v>
      </c>
      <c r="M524" s="1" t="s">
        <v>1443</v>
      </c>
      <c r="N524" t="s">
        <v>1241</v>
      </c>
    </row>
    <row r="525" spans="1:14">
      <c r="A525" s="1" t="s">
        <v>2557</v>
      </c>
      <c r="B525" s="1" t="s">
        <v>2558</v>
      </c>
      <c r="C525" s="1" t="s">
        <v>1160</v>
      </c>
      <c r="D525" s="1" t="s">
        <v>1097</v>
      </c>
      <c r="E525" s="1" t="s">
        <v>1098</v>
      </c>
      <c r="F525" s="1" t="s">
        <v>1105</v>
      </c>
      <c r="G525" s="1" t="s">
        <v>1153</v>
      </c>
      <c r="H525">
        <v>26</v>
      </c>
      <c r="I525">
        <v>44717</v>
      </c>
      <c r="J525">
        <v>188880</v>
      </c>
      <c r="K525">
        <v>0.36</v>
      </c>
      <c r="L525" s="1" t="s">
        <v>1085</v>
      </c>
      <c r="M525" s="1" t="s">
        <v>1116</v>
      </c>
      <c r="N525" t="s">
        <v>1241</v>
      </c>
    </row>
    <row r="526" spans="1:14">
      <c r="A526" s="1" t="s">
        <v>2559</v>
      </c>
      <c r="B526" s="1" t="s">
        <v>2560</v>
      </c>
      <c r="C526" s="1" t="s">
        <v>1591</v>
      </c>
      <c r="D526" s="1" t="s">
        <v>1090</v>
      </c>
      <c r="E526" s="1" t="s">
        <v>1082</v>
      </c>
      <c r="F526" s="1" t="s">
        <v>1083</v>
      </c>
      <c r="G526" s="1" t="s">
        <v>1106</v>
      </c>
      <c r="H526">
        <v>39</v>
      </c>
      <c r="I526" t="s">
        <v>2561</v>
      </c>
      <c r="J526">
        <v>87155</v>
      </c>
      <c r="K526">
        <v>0</v>
      </c>
      <c r="L526" s="1" t="s">
        <v>1085</v>
      </c>
      <c r="M526" s="1" t="s">
        <v>1093</v>
      </c>
      <c r="N526" t="s">
        <v>1241</v>
      </c>
    </row>
    <row r="527" spans="1:14">
      <c r="A527" s="1" t="s">
        <v>2562</v>
      </c>
      <c r="B527" s="1" t="s">
        <v>2563</v>
      </c>
      <c r="C527" s="1" t="s">
        <v>1285</v>
      </c>
      <c r="D527" s="1" t="s">
        <v>1097</v>
      </c>
      <c r="E527" s="1" t="s">
        <v>1098</v>
      </c>
      <c r="F527" s="1" t="s">
        <v>1105</v>
      </c>
      <c r="G527" s="1" t="s">
        <v>1133</v>
      </c>
      <c r="H527">
        <v>34</v>
      </c>
      <c r="I527" t="s">
        <v>2564</v>
      </c>
      <c r="J527">
        <v>75518</v>
      </c>
      <c r="K527">
        <v>0</v>
      </c>
      <c r="L527" s="1" t="s">
        <v>1085</v>
      </c>
      <c r="M527" s="1" t="s">
        <v>1107</v>
      </c>
      <c r="N527" t="s">
        <v>1241</v>
      </c>
    </row>
    <row r="528" spans="1:14">
      <c r="A528" s="1" t="s">
        <v>2565</v>
      </c>
      <c r="B528" s="1" t="s">
        <v>2566</v>
      </c>
      <c r="C528" s="1" t="s">
        <v>1152</v>
      </c>
      <c r="D528" s="1" t="s">
        <v>1097</v>
      </c>
      <c r="E528" s="1" t="s">
        <v>1098</v>
      </c>
      <c r="F528" s="1" t="s">
        <v>1083</v>
      </c>
      <c r="G528" s="1" t="s">
        <v>1106</v>
      </c>
      <c r="H528">
        <v>54</v>
      </c>
      <c r="I528" t="s">
        <v>2567</v>
      </c>
      <c r="J528">
        <v>129311</v>
      </c>
      <c r="K528">
        <v>0.13</v>
      </c>
      <c r="L528" s="1" t="s">
        <v>1221</v>
      </c>
      <c r="M528" s="1" t="s">
        <v>1443</v>
      </c>
      <c r="N528" t="s">
        <v>1241</v>
      </c>
    </row>
    <row r="529" spans="1:14">
      <c r="A529" s="1" t="s">
        <v>2568</v>
      </c>
      <c r="B529" s="1" t="s">
        <v>2569</v>
      </c>
      <c r="C529" s="1" t="s">
        <v>1089</v>
      </c>
      <c r="D529" s="1" t="s">
        <v>1090</v>
      </c>
      <c r="E529" s="1" t="s">
        <v>1082</v>
      </c>
      <c r="F529" s="1" t="s">
        <v>1083</v>
      </c>
      <c r="G529" s="1" t="s">
        <v>1133</v>
      </c>
      <c r="H529">
        <v>27</v>
      </c>
      <c r="I529">
        <v>44902</v>
      </c>
      <c r="J529">
        <v>56919</v>
      </c>
      <c r="K529">
        <v>0</v>
      </c>
      <c r="L529" s="1" t="s">
        <v>1085</v>
      </c>
      <c r="M529" s="1" t="s">
        <v>1137</v>
      </c>
      <c r="N529">
        <v>45200</v>
      </c>
    </row>
    <row r="530" spans="1:14">
      <c r="A530" s="1" t="s">
        <v>2570</v>
      </c>
      <c r="B530" s="1" t="s">
        <v>2571</v>
      </c>
      <c r="C530" s="1" t="s">
        <v>1152</v>
      </c>
      <c r="D530" s="1" t="s">
        <v>1127</v>
      </c>
      <c r="E530" s="1" t="s">
        <v>1082</v>
      </c>
      <c r="F530" s="1" t="s">
        <v>1105</v>
      </c>
      <c r="G530" s="1" t="s">
        <v>1133</v>
      </c>
      <c r="H530">
        <v>26</v>
      </c>
      <c r="I530" t="s">
        <v>2572</v>
      </c>
      <c r="J530">
        <v>153832</v>
      </c>
      <c r="K530">
        <v>0.14000000000000001</v>
      </c>
      <c r="L530" s="1" t="s">
        <v>1085</v>
      </c>
      <c r="M530" s="1" t="s">
        <v>1116</v>
      </c>
      <c r="N530" t="s">
        <v>1241</v>
      </c>
    </row>
    <row r="531" spans="1:14">
      <c r="A531" s="1" t="s">
        <v>2573</v>
      </c>
      <c r="B531" s="1" t="s">
        <v>2574</v>
      </c>
      <c r="C531" s="1" t="s">
        <v>1160</v>
      </c>
      <c r="D531" s="1" t="s">
        <v>1081</v>
      </c>
      <c r="E531" s="1" t="s">
        <v>1121</v>
      </c>
      <c r="F531" s="1" t="s">
        <v>1105</v>
      </c>
      <c r="G531" s="1" t="s">
        <v>1133</v>
      </c>
      <c r="H531">
        <v>26</v>
      </c>
      <c r="I531">
        <v>44689</v>
      </c>
      <c r="J531">
        <v>211121</v>
      </c>
      <c r="K531">
        <v>0.35</v>
      </c>
      <c r="L531" s="1" t="s">
        <v>1085</v>
      </c>
      <c r="M531" s="1" t="s">
        <v>1116</v>
      </c>
      <c r="N531" t="s">
        <v>1241</v>
      </c>
    </row>
    <row r="532" spans="1:14">
      <c r="A532" s="1" t="s">
        <v>2575</v>
      </c>
      <c r="B532" s="1" t="s">
        <v>2576</v>
      </c>
      <c r="C532" s="1" t="s">
        <v>1136</v>
      </c>
      <c r="D532" s="1" t="s">
        <v>1090</v>
      </c>
      <c r="E532" s="1" t="s">
        <v>1091</v>
      </c>
      <c r="F532" s="1" t="s">
        <v>1105</v>
      </c>
      <c r="G532" s="1" t="s">
        <v>1106</v>
      </c>
      <c r="H532">
        <v>29</v>
      </c>
      <c r="I532">
        <v>43503</v>
      </c>
      <c r="J532">
        <v>106456</v>
      </c>
      <c r="K532">
        <v>0.1</v>
      </c>
      <c r="L532" s="1" t="s">
        <v>1085</v>
      </c>
      <c r="M532" s="1" t="s">
        <v>1086</v>
      </c>
      <c r="N532" t="s">
        <v>1241</v>
      </c>
    </row>
    <row r="533" spans="1:14">
      <c r="A533" s="1" t="s">
        <v>2577</v>
      </c>
      <c r="B533" s="1" t="s">
        <v>2578</v>
      </c>
      <c r="C533" s="1" t="s">
        <v>1560</v>
      </c>
      <c r="D533" s="1" t="s">
        <v>1097</v>
      </c>
      <c r="E533" s="1" t="s">
        <v>1091</v>
      </c>
      <c r="F533" s="1" t="s">
        <v>1083</v>
      </c>
      <c r="G533" s="1" t="s">
        <v>1106</v>
      </c>
      <c r="H533">
        <v>64</v>
      </c>
      <c r="I533" t="s">
        <v>2579</v>
      </c>
      <c r="J533">
        <v>72772</v>
      </c>
      <c r="K533">
        <v>0</v>
      </c>
      <c r="L533" s="1" t="s">
        <v>1221</v>
      </c>
      <c r="M533" s="1" t="s">
        <v>1443</v>
      </c>
      <c r="N533" t="s">
        <v>1241</v>
      </c>
    </row>
    <row r="534" spans="1:14">
      <c r="A534" s="1" t="s">
        <v>2580</v>
      </c>
      <c r="B534" s="1" t="s">
        <v>2581</v>
      </c>
      <c r="C534" s="1" t="s">
        <v>1152</v>
      </c>
      <c r="D534" s="1" t="s">
        <v>1120</v>
      </c>
      <c r="E534" s="1" t="s">
        <v>1098</v>
      </c>
      <c r="F534" s="1" t="s">
        <v>1083</v>
      </c>
      <c r="G534" s="1" t="s">
        <v>1106</v>
      </c>
      <c r="H534">
        <v>45</v>
      </c>
      <c r="I534">
        <v>37172</v>
      </c>
      <c r="J534">
        <v>143146</v>
      </c>
      <c r="K534">
        <v>0.14000000000000001</v>
      </c>
      <c r="L534" s="1" t="s">
        <v>1085</v>
      </c>
      <c r="M534" s="1" t="s">
        <v>1093</v>
      </c>
      <c r="N534" t="s">
        <v>1241</v>
      </c>
    </row>
    <row r="535" spans="1:14">
      <c r="A535" s="1" t="s">
        <v>2582</v>
      </c>
      <c r="B535" s="1" t="s">
        <v>2583</v>
      </c>
      <c r="C535" s="1" t="s">
        <v>1126</v>
      </c>
      <c r="D535" s="1" t="s">
        <v>1148</v>
      </c>
      <c r="E535" s="1" t="s">
        <v>1082</v>
      </c>
      <c r="F535" s="1" t="s">
        <v>1105</v>
      </c>
      <c r="G535" s="1" t="s">
        <v>1084</v>
      </c>
      <c r="H535">
        <v>45</v>
      </c>
      <c r="I535" t="s">
        <v>2584</v>
      </c>
      <c r="J535">
        <v>74776</v>
      </c>
      <c r="K535">
        <v>0</v>
      </c>
      <c r="L535" s="1" t="s">
        <v>1085</v>
      </c>
      <c r="M535" s="1" t="s">
        <v>1107</v>
      </c>
      <c r="N535" t="s">
        <v>1241</v>
      </c>
    </row>
    <row r="536" spans="1:14">
      <c r="A536" s="1" t="s">
        <v>2585</v>
      </c>
      <c r="B536" s="1" t="s">
        <v>2586</v>
      </c>
      <c r="C536" s="1" t="s">
        <v>1591</v>
      </c>
      <c r="D536" s="1" t="s">
        <v>1090</v>
      </c>
      <c r="E536" s="1" t="s">
        <v>1121</v>
      </c>
      <c r="F536" s="1" t="s">
        <v>1083</v>
      </c>
      <c r="G536" s="1" t="s">
        <v>1106</v>
      </c>
      <c r="H536">
        <v>51</v>
      </c>
      <c r="I536" t="s">
        <v>2587</v>
      </c>
      <c r="J536">
        <v>92305</v>
      </c>
      <c r="K536">
        <v>0</v>
      </c>
      <c r="L536" s="1" t="s">
        <v>1085</v>
      </c>
      <c r="M536" s="1" t="s">
        <v>1093</v>
      </c>
      <c r="N536" t="s">
        <v>1241</v>
      </c>
    </row>
    <row r="537" spans="1:14">
      <c r="A537" s="1" t="s">
        <v>2588</v>
      </c>
      <c r="B537" s="1" t="s">
        <v>2589</v>
      </c>
      <c r="C537" s="1" t="s">
        <v>1104</v>
      </c>
      <c r="D537" s="1" t="s">
        <v>1097</v>
      </c>
      <c r="E537" s="1" t="s">
        <v>1082</v>
      </c>
      <c r="F537" s="1" t="s">
        <v>1083</v>
      </c>
      <c r="G537" s="1" t="s">
        <v>1106</v>
      </c>
      <c r="H537">
        <v>56</v>
      </c>
      <c r="I537">
        <v>38356</v>
      </c>
      <c r="J537">
        <v>94724</v>
      </c>
      <c r="K537">
        <v>0</v>
      </c>
      <c r="L537" s="1" t="s">
        <v>1085</v>
      </c>
      <c r="M537" s="1" t="s">
        <v>1093</v>
      </c>
      <c r="N537" t="s">
        <v>1241</v>
      </c>
    </row>
    <row r="538" spans="1:14">
      <c r="A538" s="1" t="s">
        <v>2590</v>
      </c>
      <c r="B538" s="1" t="s">
        <v>2591</v>
      </c>
      <c r="C538" s="1" t="s">
        <v>1173</v>
      </c>
      <c r="D538" s="1" t="s">
        <v>1097</v>
      </c>
      <c r="E538" s="1" t="s">
        <v>1121</v>
      </c>
      <c r="F538" s="1" t="s">
        <v>1083</v>
      </c>
      <c r="G538" s="1" t="s">
        <v>1084</v>
      </c>
      <c r="H538">
        <v>58</v>
      </c>
      <c r="I538" t="s">
        <v>2592</v>
      </c>
      <c r="J538">
        <v>88019</v>
      </c>
      <c r="K538">
        <v>0</v>
      </c>
      <c r="L538" s="1" t="s">
        <v>1085</v>
      </c>
      <c r="M538" s="1" t="s">
        <v>1112</v>
      </c>
      <c r="N538" t="s">
        <v>1241</v>
      </c>
    </row>
    <row r="539" spans="1:14">
      <c r="A539" s="1" t="s">
        <v>2593</v>
      </c>
      <c r="B539" s="1" t="s">
        <v>2594</v>
      </c>
      <c r="C539" s="1" t="s">
        <v>1136</v>
      </c>
      <c r="D539" s="1" t="s">
        <v>1208</v>
      </c>
      <c r="E539" s="1" t="s">
        <v>1091</v>
      </c>
      <c r="F539" s="1" t="s">
        <v>1083</v>
      </c>
      <c r="G539" s="1" t="s">
        <v>1153</v>
      </c>
      <c r="H539">
        <v>43</v>
      </c>
      <c r="I539" t="s">
        <v>2595</v>
      </c>
      <c r="J539">
        <v>108000</v>
      </c>
      <c r="K539">
        <v>0.1</v>
      </c>
      <c r="L539" s="1" t="s">
        <v>1085</v>
      </c>
      <c r="M539" s="1" t="s">
        <v>1086</v>
      </c>
      <c r="N539" t="s">
        <v>1241</v>
      </c>
    </row>
    <row r="540" spans="1:14">
      <c r="A540" s="1" t="s">
        <v>2596</v>
      </c>
      <c r="B540" s="1" t="s">
        <v>2597</v>
      </c>
      <c r="C540" s="1" t="s">
        <v>1560</v>
      </c>
      <c r="D540" s="1" t="s">
        <v>1097</v>
      </c>
      <c r="E540" s="1" t="s">
        <v>1091</v>
      </c>
      <c r="F540" s="1" t="s">
        <v>1083</v>
      </c>
      <c r="G540" s="1" t="s">
        <v>1084</v>
      </c>
      <c r="H540">
        <v>52</v>
      </c>
      <c r="I540" t="s">
        <v>1244</v>
      </c>
      <c r="J540">
        <v>81438</v>
      </c>
      <c r="K540">
        <v>0</v>
      </c>
      <c r="L540" s="1" t="s">
        <v>1100</v>
      </c>
      <c r="M540" s="1" t="s">
        <v>1188</v>
      </c>
      <c r="N540" t="s">
        <v>1241</v>
      </c>
    </row>
    <row r="541" spans="1:14">
      <c r="A541" s="1" t="s">
        <v>2598</v>
      </c>
      <c r="B541" s="1" t="s">
        <v>2599</v>
      </c>
      <c r="C541" s="1" t="s">
        <v>1294</v>
      </c>
      <c r="D541" s="1" t="s">
        <v>1097</v>
      </c>
      <c r="E541" s="1" t="s">
        <v>1091</v>
      </c>
      <c r="F541" s="1" t="s">
        <v>1083</v>
      </c>
      <c r="G541" s="1" t="s">
        <v>1084</v>
      </c>
      <c r="H541">
        <v>41</v>
      </c>
      <c r="I541" t="s">
        <v>2600</v>
      </c>
      <c r="J541">
        <v>95669</v>
      </c>
      <c r="K541">
        <v>0.1</v>
      </c>
      <c r="L541" s="1" t="s">
        <v>1100</v>
      </c>
      <c r="M541" s="1" t="s">
        <v>1101</v>
      </c>
      <c r="N541">
        <v>44445</v>
      </c>
    </row>
    <row r="542" spans="1:14">
      <c r="A542" s="1" t="s">
        <v>2601</v>
      </c>
      <c r="B542" s="1" t="s">
        <v>2602</v>
      </c>
      <c r="C542" s="1" t="s">
        <v>1160</v>
      </c>
      <c r="D542" s="1" t="s">
        <v>1120</v>
      </c>
      <c r="E542" s="1" t="s">
        <v>1121</v>
      </c>
      <c r="F542" s="1" t="s">
        <v>1083</v>
      </c>
      <c r="G542" s="1" t="s">
        <v>1133</v>
      </c>
      <c r="H542">
        <v>43</v>
      </c>
      <c r="I542" t="s">
        <v>2603</v>
      </c>
      <c r="J542">
        <v>180385</v>
      </c>
      <c r="K542">
        <v>0.33</v>
      </c>
      <c r="L542" s="1" t="s">
        <v>1085</v>
      </c>
      <c r="M542" s="1" t="s">
        <v>1086</v>
      </c>
      <c r="N542" t="s">
        <v>1241</v>
      </c>
    </row>
    <row r="543" spans="1:14">
      <c r="A543" s="1" t="s">
        <v>2604</v>
      </c>
      <c r="B543" s="1" t="s">
        <v>2605</v>
      </c>
      <c r="C543" s="1" t="s">
        <v>1269</v>
      </c>
      <c r="D543" s="1" t="s">
        <v>1097</v>
      </c>
      <c r="E543" s="1" t="s">
        <v>1098</v>
      </c>
      <c r="F543" s="1" t="s">
        <v>1083</v>
      </c>
      <c r="G543" s="1" t="s">
        <v>1106</v>
      </c>
      <c r="H543">
        <v>36</v>
      </c>
      <c r="I543" t="s">
        <v>1700</v>
      </c>
      <c r="J543">
        <v>45184</v>
      </c>
      <c r="K543">
        <v>0</v>
      </c>
      <c r="L543" s="1" t="s">
        <v>1221</v>
      </c>
      <c r="M543" s="1" t="s">
        <v>1298</v>
      </c>
      <c r="N543" t="s">
        <v>1241</v>
      </c>
    </row>
    <row r="544" spans="1:14">
      <c r="A544" s="1" t="s">
        <v>2606</v>
      </c>
      <c r="B544" s="1" t="s">
        <v>2607</v>
      </c>
      <c r="C544" s="1" t="s">
        <v>1594</v>
      </c>
      <c r="D544" s="1" t="s">
        <v>1081</v>
      </c>
      <c r="E544" s="1" t="s">
        <v>1098</v>
      </c>
      <c r="F544" s="1" t="s">
        <v>1083</v>
      </c>
      <c r="G544" s="1" t="s">
        <v>1133</v>
      </c>
      <c r="H544">
        <v>55</v>
      </c>
      <c r="I544">
        <v>39302</v>
      </c>
      <c r="J544">
        <v>70451</v>
      </c>
      <c r="K544">
        <v>0</v>
      </c>
      <c r="L544" s="1" t="s">
        <v>1085</v>
      </c>
      <c r="M544" s="1" t="s">
        <v>1107</v>
      </c>
      <c r="N544" t="s">
        <v>1241</v>
      </c>
    </row>
    <row r="545" spans="1:14">
      <c r="A545" s="1" t="s">
        <v>2608</v>
      </c>
      <c r="B545" s="1" t="s">
        <v>2609</v>
      </c>
      <c r="C545" s="1" t="s">
        <v>1173</v>
      </c>
      <c r="D545" s="1" t="s">
        <v>1097</v>
      </c>
      <c r="E545" s="1" t="s">
        <v>1121</v>
      </c>
      <c r="F545" s="1" t="s">
        <v>1105</v>
      </c>
      <c r="G545" s="1" t="s">
        <v>1084</v>
      </c>
      <c r="H545">
        <v>39</v>
      </c>
      <c r="I545">
        <v>39937</v>
      </c>
      <c r="J545">
        <v>63259</v>
      </c>
      <c r="K545">
        <v>0</v>
      </c>
      <c r="L545" s="1" t="s">
        <v>1085</v>
      </c>
      <c r="M545" s="1" t="s">
        <v>1093</v>
      </c>
      <c r="N545" t="s">
        <v>1241</v>
      </c>
    </row>
    <row r="546" spans="1:14">
      <c r="A546" s="1" t="s">
        <v>2610</v>
      </c>
      <c r="B546" s="1" t="s">
        <v>2611</v>
      </c>
      <c r="C546" s="1" t="s">
        <v>1126</v>
      </c>
      <c r="D546" s="1" t="s">
        <v>1120</v>
      </c>
      <c r="E546" s="1" t="s">
        <v>1091</v>
      </c>
      <c r="F546" s="1" t="s">
        <v>1105</v>
      </c>
      <c r="G546" s="1" t="s">
        <v>1133</v>
      </c>
      <c r="H546">
        <v>56</v>
      </c>
      <c r="I546">
        <v>36894</v>
      </c>
      <c r="J546">
        <v>73778</v>
      </c>
      <c r="K546">
        <v>0</v>
      </c>
      <c r="L546" s="1" t="s">
        <v>1085</v>
      </c>
      <c r="M546" s="1" t="s">
        <v>1137</v>
      </c>
      <c r="N546" t="s">
        <v>1241</v>
      </c>
    </row>
    <row r="547" spans="1:14">
      <c r="A547" s="1" t="s">
        <v>2612</v>
      </c>
      <c r="B547" s="1" t="s">
        <v>2613</v>
      </c>
      <c r="C547" s="1" t="s">
        <v>1152</v>
      </c>
      <c r="D547" s="1" t="s">
        <v>1090</v>
      </c>
      <c r="E547" s="1" t="s">
        <v>1098</v>
      </c>
      <c r="F547" s="1" t="s">
        <v>1083</v>
      </c>
      <c r="G547" s="1" t="s">
        <v>1084</v>
      </c>
      <c r="H547">
        <v>45</v>
      </c>
      <c r="I547">
        <v>39875</v>
      </c>
      <c r="J547">
        <v>126697</v>
      </c>
      <c r="K547">
        <v>0.13</v>
      </c>
      <c r="L547" s="1" t="s">
        <v>1100</v>
      </c>
      <c r="M547" s="1" t="s">
        <v>1188</v>
      </c>
      <c r="N547" t="s">
        <v>1241</v>
      </c>
    </row>
    <row r="548" spans="1:14">
      <c r="A548" s="1" t="s">
        <v>2614</v>
      </c>
      <c r="B548" s="1" t="s">
        <v>2615</v>
      </c>
      <c r="C548" s="1" t="s">
        <v>1132</v>
      </c>
      <c r="D548" s="1" t="s">
        <v>1097</v>
      </c>
      <c r="E548" s="1" t="s">
        <v>1121</v>
      </c>
      <c r="F548" s="1" t="s">
        <v>1105</v>
      </c>
      <c r="G548" s="1" t="s">
        <v>1106</v>
      </c>
      <c r="H548">
        <v>63</v>
      </c>
      <c r="I548" t="s">
        <v>2616</v>
      </c>
      <c r="J548">
        <v>75396</v>
      </c>
      <c r="K548">
        <v>0</v>
      </c>
      <c r="L548" s="1" t="s">
        <v>1221</v>
      </c>
      <c r="M548" s="1" t="s">
        <v>1222</v>
      </c>
      <c r="N548" t="s">
        <v>1241</v>
      </c>
    </row>
    <row r="549" spans="1:14">
      <c r="A549" s="1" t="s">
        <v>2617</v>
      </c>
      <c r="B549" s="1" t="s">
        <v>2618</v>
      </c>
      <c r="C549" s="1" t="s">
        <v>1110</v>
      </c>
      <c r="D549" s="1" t="s">
        <v>1208</v>
      </c>
      <c r="E549" s="1" t="s">
        <v>1091</v>
      </c>
      <c r="F549" s="1" t="s">
        <v>1105</v>
      </c>
      <c r="G549" s="1" t="s">
        <v>1106</v>
      </c>
      <c r="H549">
        <v>39</v>
      </c>
      <c r="I549" t="s">
        <v>2619</v>
      </c>
      <c r="J549">
        <v>182595</v>
      </c>
      <c r="K549">
        <v>0.28999999999999998</v>
      </c>
      <c r="L549" s="1" t="s">
        <v>1221</v>
      </c>
      <c r="M549" s="1" t="s">
        <v>1222</v>
      </c>
      <c r="N549" t="s">
        <v>2620</v>
      </c>
    </row>
    <row r="550" spans="1:14">
      <c r="A550" s="1" t="s">
        <v>2621</v>
      </c>
      <c r="B550" s="1" t="s">
        <v>2622</v>
      </c>
      <c r="C550" s="1" t="s">
        <v>1089</v>
      </c>
      <c r="D550" s="1" t="s">
        <v>1127</v>
      </c>
      <c r="E550" s="1" t="s">
        <v>1091</v>
      </c>
      <c r="F550" s="1" t="s">
        <v>1083</v>
      </c>
      <c r="G550" s="1" t="s">
        <v>1084</v>
      </c>
      <c r="H550">
        <v>32</v>
      </c>
      <c r="I550" t="s">
        <v>2623</v>
      </c>
      <c r="J550">
        <v>45424</v>
      </c>
      <c r="K550">
        <v>0</v>
      </c>
      <c r="L550" s="1" t="s">
        <v>1085</v>
      </c>
      <c r="M550" s="1" t="s">
        <v>1112</v>
      </c>
      <c r="N550" t="s">
        <v>1241</v>
      </c>
    </row>
    <row r="551" spans="1:14">
      <c r="A551" s="1" t="s">
        <v>2624</v>
      </c>
      <c r="B551" s="1" t="s">
        <v>2625</v>
      </c>
      <c r="C551" s="1" t="s">
        <v>1126</v>
      </c>
      <c r="D551" s="1" t="s">
        <v>1127</v>
      </c>
      <c r="E551" s="1" t="s">
        <v>1082</v>
      </c>
      <c r="F551" s="1" t="s">
        <v>1083</v>
      </c>
      <c r="G551" s="1" t="s">
        <v>1084</v>
      </c>
      <c r="H551">
        <v>45</v>
      </c>
      <c r="I551">
        <v>40980</v>
      </c>
      <c r="J551">
        <v>70661</v>
      </c>
      <c r="K551">
        <v>0</v>
      </c>
      <c r="L551" s="1" t="s">
        <v>1100</v>
      </c>
      <c r="M551" s="1" t="s">
        <v>1123</v>
      </c>
      <c r="N551" t="s">
        <v>1241</v>
      </c>
    </row>
    <row r="552" spans="1:14">
      <c r="A552" s="1" t="s">
        <v>2626</v>
      </c>
      <c r="B552" s="1" t="s">
        <v>2627</v>
      </c>
      <c r="C552" s="1" t="s">
        <v>1269</v>
      </c>
      <c r="D552" s="1" t="s">
        <v>1097</v>
      </c>
      <c r="E552" s="1" t="s">
        <v>1098</v>
      </c>
      <c r="F552" s="1" t="s">
        <v>1083</v>
      </c>
      <c r="G552" s="1" t="s">
        <v>1084</v>
      </c>
      <c r="H552">
        <v>41</v>
      </c>
      <c r="I552" t="s">
        <v>2628</v>
      </c>
      <c r="J552">
        <v>57166</v>
      </c>
      <c r="K552">
        <v>0</v>
      </c>
      <c r="L552" s="1" t="s">
        <v>1100</v>
      </c>
      <c r="M552" s="1" t="s">
        <v>1101</v>
      </c>
      <c r="N552" t="s">
        <v>1241</v>
      </c>
    </row>
    <row r="553" spans="1:14">
      <c r="A553" s="1" t="s">
        <v>2629</v>
      </c>
      <c r="B553" s="1" t="s">
        <v>2630</v>
      </c>
      <c r="C553" s="1" t="s">
        <v>1632</v>
      </c>
      <c r="D553" s="1" t="s">
        <v>1081</v>
      </c>
      <c r="E553" s="1" t="s">
        <v>1091</v>
      </c>
      <c r="F553" s="1" t="s">
        <v>1105</v>
      </c>
      <c r="G553" s="1" t="s">
        <v>1133</v>
      </c>
      <c r="H553">
        <v>56</v>
      </c>
      <c r="I553" t="s">
        <v>2631</v>
      </c>
      <c r="J553">
        <v>101637</v>
      </c>
      <c r="K553">
        <v>0</v>
      </c>
      <c r="L553" s="1" t="s">
        <v>1085</v>
      </c>
      <c r="M553" s="1" t="s">
        <v>1093</v>
      </c>
      <c r="N553" t="s">
        <v>2632</v>
      </c>
    </row>
    <row r="554" spans="1:14">
      <c r="A554" s="1" t="s">
        <v>2633</v>
      </c>
      <c r="B554" s="1" t="s">
        <v>2634</v>
      </c>
      <c r="C554" s="1" t="s">
        <v>1136</v>
      </c>
      <c r="D554" s="1" t="s">
        <v>1148</v>
      </c>
      <c r="E554" s="1" t="s">
        <v>1121</v>
      </c>
      <c r="F554" s="1" t="s">
        <v>1105</v>
      </c>
      <c r="G554" s="1" t="s">
        <v>1106</v>
      </c>
      <c r="H554">
        <v>30</v>
      </c>
      <c r="I554" t="s">
        <v>2635</v>
      </c>
      <c r="J554">
        <v>103646</v>
      </c>
      <c r="K554">
        <v>7.0000000000000007E-2</v>
      </c>
      <c r="L554" s="1" t="s">
        <v>1085</v>
      </c>
      <c r="M554" s="1" t="s">
        <v>1116</v>
      </c>
      <c r="N554" t="s">
        <v>1241</v>
      </c>
    </row>
    <row r="555" spans="1:14">
      <c r="A555" s="1" t="s">
        <v>2636</v>
      </c>
      <c r="B555" s="1" t="s">
        <v>2637</v>
      </c>
      <c r="C555" s="1" t="s">
        <v>1318</v>
      </c>
      <c r="D555" s="1" t="s">
        <v>1081</v>
      </c>
      <c r="E555" s="1" t="s">
        <v>1082</v>
      </c>
      <c r="F555" s="1" t="s">
        <v>1083</v>
      </c>
      <c r="G555" s="1" t="s">
        <v>1133</v>
      </c>
      <c r="H555">
        <v>46</v>
      </c>
      <c r="I555" t="s">
        <v>2638</v>
      </c>
      <c r="J555">
        <v>100757</v>
      </c>
      <c r="K555">
        <v>0</v>
      </c>
      <c r="L555" s="1" t="s">
        <v>1085</v>
      </c>
      <c r="M555" s="1" t="s">
        <v>1093</v>
      </c>
      <c r="N555" t="s">
        <v>1241</v>
      </c>
    </row>
    <row r="556" spans="1:14">
      <c r="A556" s="1" t="s">
        <v>2639</v>
      </c>
      <c r="B556" s="1" t="s">
        <v>2640</v>
      </c>
      <c r="C556" s="1" t="s">
        <v>1096</v>
      </c>
      <c r="D556" s="1" t="s">
        <v>1097</v>
      </c>
      <c r="E556" s="1" t="s">
        <v>1121</v>
      </c>
      <c r="F556" s="1" t="s">
        <v>1083</v>
      </c>
      <c r="G556" s="1" t="s">
        <v>1133</v>
      </c>
      <c r="H556">
        <v>47</v>
      </c>
      <c r="I556">
        <v>39548</v>
      </c>
      <c r="J556">
        <v>60963</v>
      </c>
      <c r="K556">
        <v>0</v>
      </c>
      <c r="L556" s="1" t="s">
        <v>1085</v>
      </c>
      <c r="M556" s="1" t="s">
        <v>1107</v>
      </c>
      <c r="N556" t="s">
        <v>1241</v>
      </c>
    </row>
    <row r="557" spans="1:14">
      <c r="A557" s="1" t="s">
        <v>2641</v>
      </c>
      <c r="B557" s="1" t="s">
        <v>2642</v>
      </c>
      <c r="C557" s="1" t="s">
        <v>1160</v>
      </c>
      <c r="D557" s="1" t="s">
        <v>1081</v>
      </c>
      <c r="E557" s="1" t="s">
        <v>1082</v>
      </c>
      <c r="F557" s="1" t="s">
        <v>1083</v>
      </c>
      <c r="G557" s="1" t="s">
        <v>1133</v>
      </c>
      <c r="H557">
        <v>53</v>
      </c>
      <c r="I557" t="s">
        <v>2643</v>
      </c>
      <c r="J557">
        <v>258734</v>
      </c>
      <c r="K557">
        <v>0.34</v>
      </c>
      <c r="L557" s="1" t="s">
        <v>1085</v>
      </c>
      <c r="M557" s="1" t="s">
        <v>1107</v>
      </c>
      <c r="N557" t="s">
        <v>1241</v>
      </c>
    </row>
    <row r="558" spans="1:14">
      <c r="A558" s="1" t="s">
        <v>2644</v>
      </c>
      <c r="B558" s="1" t="s">
        <v>2645</v>
      </c>
      <c r="C558" s="1" t="s">
        <v>1275</v>
      </c>
      <c r="D558" s="1" t="s">
        <v>1097</v>
      </c>
      <c r="E558" s="1" t="s">
        <v>1121</v>
      </c>
      <c r="F558" s="1" t="s">
        <v>1083</v>
      </c>
      <c r="G558" s="1" t="s">
        <v>1084</v>
      </c>
      <c r="H558">
        <v>38</v>
      </c>
      <c r="I558" t="s">
        <v>2646</v>
      </c>
      <c r="J558">
        <v>70612</v>
      </c>
      <c r="K558">
        <v>0</v>
      </c>
      <c r="L558" s="1" t="s">
        <v>1100</v>
      </c>
      <c r="M558" s="1" t="s">
        <v>1123</v>
      </c>
      <c r="N558" t="s">
        <v>1241</v>
      </c>
    </row>
    <row r="559" spans="1:14">
      <c r="A559" s="1" t="s">
        <v>2647</v>
      </c>
      <c r="B559" s="1" t="s">
        <v>2648</v>
      </c>
      <c r="C559" s="1" t="s">
        <v>1165</v>
      </c>
      <c r="D559" s="1" t="s">
        <v>1097</v>
      </c>
      <c r="E559" s="1" t="s">
        <v>1098</v>
      </c>
      <c r="F559" s="1" t="s">
        <v>1083</v>
      </c>
      <c r="G559" s="1" t="s">
        <v>1084</v>
      </c>
      <c r="H559">
        <v>65</v>
      </c>
      <c r="I559" t="s">
        <v>2649</v>
      </c>
      <c r="J559">
        <v>77065</v>
      </c>
      <c r="K559">
        <v>0</v>
      </c>
      <c r="L559" s="1" t="s">
        <v>1085</v>
      </c>
      <c r="M559" s="1" t="s">
        <v>1107</v>
      </c>
      <c r="N559" t="s">
        <v>1241</v>
      </c>
    </row>
    <row r="560" spans="1:14">
      <c r="A560" s="1" t="s">
        <v>2650</v>
      </c>
      <c r="B560" s="1" t="s">
        <v>2651</v>
      </c>
      <c r="C560" s="1" t="s">
        <v>1594</v>
      </c>
      <c r="D560" s="1" t="s">
        <v>1081</v>
      </c>
      <c r="E560" s="1" t="s">
        <v>1121</v>
      </c>
      <c r="F560" s="1" t="s">
        <v>1105</v>
      </c>
      <c r="G560" s="1" t="s">
        <v>1106</v>
      </c>
      <c r="H560">
        <v>58</v>
      </c>
      <c r="I560" t="s">
        <v>2652</v>
      </c>
      <c r="J560">
        <v>96256</v>
      </c>
      <c r="K560">
        <v>0</v>
      </c>
      <c r="L560" s="1" t="s">
        <v>1085</v>
      </c>
      <c r="M560" s="1" t="s">
        <v>1093</v>
      </c>
      <c r="N560" t="s">
        <v>1241</v>
      </c>
    </row>
    <row r="561" spans="1:14">
      <c r="A561" s="1" t="s">
        <v>2653</v>
      </c>
      <c r="B561" s="1" t="s">
        <v>2654</v>
      </c>
      <c r="C561" s="1" t="s">
        <v>1126</v>
      </c>
      <c r="D561" s="1" t="s">
        <v>1120</v>
      </c>
      <c r="E561" s="1" t="s">
        <v>1082</v>
      </c>
      <c r="F561" s="1" t="s">
        <v>1105</v>
      </c>
      <c r="G561" s="1" t="s">
        <v>1084</v>
      </c>
      <c r="H561">
        <v>36</v>
      </c>
      <c r="I561" t="s">
        <v>2655</v>
      </c>
      <c r="J561">
        <v>65794</v>
      </c>
      <c r="K561">
        <v>0</v>
      </c>
      <c r="L561" s="1" t="s">
        <v>1085</v>
      </c>
      <c r="M561" s="1" t="s">
        <v>1112</v>
      </c>
      <c r="N561" t="s">
        <v>1241</v>
      </c>
    </row>
    <row r="562" spans="1:14">
      <c r="A562" s="1" t="s">
        <v>2656</v>
      </c>
      <c r="B562" s="1" t="s">
        <v>2657</v>
      </c>
      <c r="C562" s="1" t="s">
        <v>1089</v>
      </c>
      <c r="D562" s="1" t="s">
        <v>1120</v>
      </c>
      <c r="E562" s="1" t="s">
        <v>1098</v>
      </c>
      <c r="F562" s="1" t="s">
        <v>1105</v>
      </c>
      <c r="G562" s="1" t="s">
        <v>1084</v>
      </c>
      <c r="H562">
        <v>45</v>
      </c>
      <c r="I562" t="s">
        <v>2658</v>
      </c>
      <c r="J562">
        <v>48491</v>
      </c>
      <c r="K562">
        <v>0</v>
      </c>
      <c r="L562" s="1" t="s">
        <v>1085</v>
      </c>
      <c r="M562" s="1" t="s">
        <v>1112</v>
      </c>
      <c r="N562">
        <v>42226</v>
      </c>
    </row>
    <row r="563" spans="1:14">
      <c r="A563" s="1" t="s">
        <v>2659</v>
      </c>
      <c r="B563" s="1" t="s">
        <v>2660</v>
      </c>
      <c r="C563" s="1" t="s">
        <v>1632</v>
      </c>
      <c r="D563" s="1" t="s">
        <v>1081</v>
      </c>
      <c r="E563" s="1" t="s">
        <v>1098</v>
      </c>
      <c r="F563" s="1" t="s">
        <v>1083</v>
      </c>
      <c r="G563" s="1" t="s">
        <v>1106</v>
      </c>
      <c r="H563">
        <v>34</v>
      </c>
      <c r="I563">
        <v>43654</v>
      </c>
      <c r="J563">
        <v>83220</v>
      </c>
      <c r="K563">
        <v>0</v>
      </c>
      <c r="L563" s="1" t="s">
        <v>1085</v>
      </c>
      <c r="M563" s="1" t="s">
        <v>1093</v>
      </c>
      <c r="N563" t="s">
        <v>1241</v>
      </c>
    </row>
    <row r="564" spans="1:14">
      <c r="A564" s="1" t="s">
        <v>2661</v>
      </c>
      <c r="B564" s="1" t="s">
        <v>2662</v>
      </c>
      <c r="C564" s="1" t="s">
        <v>1384</v>
      </c>
      <c r="D564" s="1" t="s">
        <v>1208</v>
      </c>
      <c r="E564" s="1" t="s">
        <v>1098</v>
      </c>
      <c r="F564" s="1" t="s">
        <v>1105</v>
      </c>
      <c r="G564" s="1" t="s">
        <v>1084</v>
      </c>
      <c r="H564">
        <v>37</v>
      </c>
      <c r="I564">
        <v>40271</v>
      </c>
      <c r="J564">
        <v>61680</v>
      </c>
      <c r="K564">
        <v>0</v>
      </c>
      <c r="L564" s="1" t="s">
        <v>1100</v>
      </c>
      <c r="M564" s="1" t="s">
        <v>1188</v>
      </c>
      <c r="N564">
        <v>42100</v>
      </c>
    </row>
    <row r="565" spans="1:14">
      <c r="A565" s="1" t="s">
        <v>2663</v>
      </c>
      <c r="B565" s="1" t="s">
        <v>2664</v>
      </c>
      <c r="C565" s="1" t="s">
        <v>1119</v>
      </c>
      <c r="D565" s="1" t="s">
        <v>1090</v>
      </c>
      <c r="E565" s="1" t="s">
        <v>1082</v>
      </c>
      <c r="F565" s="1" t="s">
        <v>1083</v>
      </c>
      <c r="G565" s="1" t="s">
        <v>1084</v>
      </c>
      <c r="H565">
        <v>43</v>
      </c>
      <c r="I565">
        <v>44449</v>
      </c>
      <c r="J565">
        <v>72482</v>
      </c>
      <c r="K565">
        <v>0</v>
      </c>
      <c r="L565" s="1" t="s">
        <v>1085</v>
      </c>
      <c r="M565" s="1" t="s">
        <v>1093</v>
      </c>
      <c r="N565" t="s">
        <v>1241</v>
      </c>
    </row>
    <row r="566" spans="1:14">
      <c r="A566" s="1" t="s">
        <v>2665</v>
      </c>
      <c r="B566" s="1" t="s">
        <v>2666</v>
      </c>
      <c r="C566" s="1" t="s">
        <v>1594</v>
      </c>
      <c r="D566" s="1" t="s">
        <v>1081</v>
      </c>
      <c r="E566" s="1" t="s">
        <v>1098</v>
      </c>
      <c r="F566" s="1" t="s">
        <v>1083</v>
      </c>
      <c r="G566" s="1" t="s">
        <v>1106</v>
      </c>
      <c r="H566">
        <v>27</v>
      </c>
      <c r="I566">
        <v>44744</v>
      </c>
      <c r="J566">
        <v>81713</v>
      </c>
      <c r="K566">
        <v>0</v>
      </c>
      <c r="L566" s="1" t="s">
        <v>1221</v>
      </c>
      <c r="M566" s="1" t="s">
        <v>1222</v>
      </c>
      <c r="N566" t="s">
        <v>1241</v>
      </c>
    </row>
    <row r="567" spans="1:14">
      <c r="A567" s="1" t="s">
        <v>2667</v>
      </c>
      <c r="B567" s="1" t="s">
        <v>2668</v>
      </c>
      <c r="C567" s="1" t="s">
        <v>1126</v>
      </c>
      <c r="D567" s="1" t="s">
        <v>1090</v>
      </c>
      <c r="E567" s="1" t="s">
        <v>1082</v>
      </c>
      <c r="F567" s="1" t="s">
        <v>1083</v>
      </c>
      <c r="G567" s="1" t="s">
        <v>1106</v>
      </c>
      <c r="H567">
        <v>38</v>
      </c>
      <c r="I567">
        <v>44298</v>
      </c>
      <c r="J567">
        <v>68281</v>
      </c>
      <c r="K567">
        <v>0</v>
      </c>
      <c r="L567" s="1" t="s">
        <v>1085</v>
      </c>
      <c r="M567" s="1" t="s">
        <v>1137</v>
      </c>
      <c r="N567">
        <v>44807</v>
      </c>
    </row>
    <row r="568" spans="1:14">
      <c r="A568" s="1" t="s">
        <v>2669</v>
      </c>
      <c r="B568" s="1" t="s">
        <v>2670</v>
      </c>
      <c r="C568" s="1" t="s">
        <v>1275</v>
      </c>
      <c r="D568" s="1" t="s">
        <v>1097</v>
      </c>
      <c r="E568" s="1" t="s">
        <v>1091</v>
      </c>
      <c r="F568" s="1" t="s">
        <v>1105</v>
      </c>
      <c r="G568" s="1" t="s">
        <v>1133</v>
      </c>
      <c r="H568">
        <v>60</v>
      </c>
      <c r="I568">
        <v>34251</v>
      </c>
      <c r="J568">
        <v>63979</v>
      </c>
      <c r="K568">
        <v>0</v>
      </c>
      <c r="L568" s="1" t="s">
        <v>1085</v>
      </c>
      <c r="M568" s="1" t="s">
        <v>1137</v>
      </c>
      <c r="N568" t="s">
        <v>1241</v>
      </c>
    </row>
    <row r="569" spans="1:14">
      <c r="A569" s="1" t="s">
        <v>2671</v>
      </c>
      <c r="B569" s="1" t="s">
        <v>2672</v>
      </c>
      <c r="C569" s="1" t="s">
        <v>1213</v>
      </c>
      <c r="D569" s="1" t="s">
        <v>1208</v>
      </c>
      <c r="E569" s="1" t="s">
        <v>1091</v>
      </c>
      <c r="F569" s="1" t="s">
        <v>1083</v>
      </c>
      <c r="G569" s="1" t="s">
        <v>1084</v>
      </c>
      <c r="H569">
        <v>29</v>
      </c>
      <c r="I569" t="s">
        <v>2561</v>
      </c>
      <c r="J569">
        <v>53090</v>
      </c>
      <c r="K569">
        <v>0</v>
      </c>
      <c r="L569" s="1" t="s">
        <v>1085</v>
      </c>
      <c r="M569" s="1" t="s">
        <v>1137</v>
      </c>
      <c r="N569" t="s">
        <v>1241</v>
      </c>
    </row>
    <row r="570" spans="1:14">
      <c r="A570" s="1" t="s">
        <v>2673</v>
      </c>
      <c r="B570" s="1" t="s">
        <v>2674</v>
      </c>
      <c r="C570" s="1" t="s">
        <v>1136</v>
      </c>
      <c r="D570" s="1" t="s">
        <v>1090</v>
      </c>
      <c r="E570" s="1" t="s">
        <v>1121</v>
      </c>
      <c r="F570" s="1" t="s">
        <v>1083</v>
      </c>
      <c r="G570" s="1" t="s">
        <v>1106</v>
      </c>
      <c r="H570">
        <v>49</v>
      </c>
      <c r="I570" t="s">
        <v>2675</v>
      </c>
      <c r="J570">
        <v>108325</v>
      </c>
      <c r="K570">
        <v>0.1</v>
      </c>
      <c r="L570" s="1" t="s">
        <v>1221</v>
      </c>
      <c r="M570" s="1" t="s">
        <v>1443</v>
      </c>
      <c r="N570" t="s">
        <v>1241</v>
      </c>
    </row>
    <row r="571" spans="1:14">
      <c r="A571" s="1" t="s">
        <v>2676</v>
      </c>
      <c r="B571" s="1" t="s">
        <v>2677</v>
      </c>
      <c r="C571" s="1" t="s">
        <v>1119</v>
      </c>
      <c r="D571" s="1" t="s">
        <v>1148</v>
      </c>
      <c r="E571" s="1" t="s">
        <v>1091</v>
      </c>
      <c r="F571" s="1" t="s">
        <v>1083</v>
      </c>
      <c r="G571" s="1" t="s">
        <v>1153</v>
      </c>
      <c r="H571">
        <v>45</v>
      </c>
      <c r="I571">
        <v>43282</v>
      </c>
      <c r="J571">
        <v>98289</v>
      </c>
      <c r="K571">
        <v>0</v>
      </c>
      <c r="L571" s="1" t="s">
        <v>1085</v>
      </c>
      <c r="M571" s="1" t="s">
        <v>1086</v>
      </c>
      <c r="N571" t="s">
        <v>1241</v>
      </c>
    </row>
    <row r="572" spans="1:14">
      <c r="A572" s="1" t="s">
        <v>2678</v>
      </c>
      <c r="B572" s="1" t="s">
        <v>2679</v>
      </c>
      <c r="C572" s="1" t="s">
        <v>1269</v>
      </c>
      <c r="D572" s="1" t="s">
        <v>1097</v>
      </c>
      <c r="E572" s="1" t="s">
        <v>1121</v>
      </c>
      <c r="F572" s="1" t="s">
        <v>1083</v>
      </c>
      <c r="G572" s="1" t="s">
        <v>1133</v>
      </c>
      <c r="H572">
        <v>44</v>
      </c>
      <c r="I572" t="s">
        <v>2680</v>
      </c>
      <c r="J572">
        <v>41275</v>
      </c>
      <c r="K572">
        <v>0</v>
      </c>
      <c r="L572" s="1" t="s">
        <v>1085</v>
      </c>
      <c r="M572" s="1" t="s">
        <v>1112</v>
      </c>
      <c r="N572" t="s">
        <v>2681</v>
      </c>
    </row>
    <row r="573" spans="1:14">
      <c r="A573" s="1" t="s">
        <v>2682</v>
      </c>
      <c r="B573" s="1" t="s">
        <v>2683</v>
      </c>
      <c r="C573" s="1" t="s">
        <v>1119</v>
      </c>
      <c r="D573" s="1" t="s">
        <v>1127</v>
      </c>
      <c r="E573" s="1" t="s">
        <v>1121</v>
      </c>
      <c r="F573" s="1" t="s">
        <v>1083</v>
      </c>
      <c r="G573" s="1" t="s">
        <v>1133</v>
      </c>
      <c r="H573">
        <v>46</v>
      </c>
      <c r="I573">
        <v>41062</v>
      </c>
      <c r="J573">
        <v>93642</v>
      </c>
      <c r="K573">
        <v>0</v>
      </c>
      <c r="L573" s="1" t="s">
        <v>1085</v>
      </c>
      <c r="M573" s="1" t="s">
        <v>1086</v>
      </c>
      <c r="N573" t="s">
        <v>1241</v>
      </c>
    </row>
    <row r="574" spans="1:14">
      <c r="A574" s="1" t="s">
        <v>2684</v>
      </c>
      <c r="B574" s="1" t="s">
        <v>2685</v>
      </c>
      <c r="C574" s="1" t="s">
        <v>1110</v>
      </c>
      <c r="D574" s="1" t="s">
        <v>1208</v>
      </c>
      <c r="E574" s="1" t="s">
        <v>1098</v>
      </c>
      <c r="F574" s="1" t="s">
        <v>1083</v>
      </c>
      <c r="G574" s="1" t="s">
        <v>1084</v>
      </c>
      <c r="H574">
        <v>36</v>
      </c>
      <c r="I574" t="s">
        <v>2686</v>
      </c>
      <c r="J574">
        <v>162957</v>
      </c>
      <c r="K574">
        <v>0.18</v>
      </c>
      <c r="L574" s="1" t="s">
        <v>1100</v>
      </c>
      <c r="M574" s="1" t="s">
        <v>1123</v>
      </c>
      <c r="N574" t="s">
        <v>1241</v>
      </c>
    </row>
    <row r="575" spans="1:14">
      <c r="A575" s="1" t="s">
        <v>2687</v>
      </c>
      <c r="B575" s="1" t="s">
        <v>2688</v>
      </c>
      <c r="C575" s="1" t="s">
        <v>1119</v>
      </c>
      <c r="D575" s="1" t="s">
        <v>1120</v>
      </c>
      <c r="E575" s="1" t="s">
        <v>1082</v>
      </c>
      <c r="F575" s="1" t="s">
        <v>1083</v>
      </c>
      <c r="G575" s="1" t="s">
        <v>1106</v>
      </c>
      <c r="H575">
        <v>45</v>
      </c>
      <c r="I575">
        <v>44838</v>
      </c>
      <c r="J575">
        <v>96029</v>
      </c>
      <c r="K575">
        <v>0</v>
      </c>
      <c r="L575" s="1" t="s">
        <v>1221</v>
      </c>
      <c r="M575" s="1" t="s">
        <v>1222</v>
      </c>
      <c r="N575" t="s">
        <v>1241</v>
      </c>
    </row>
    <row r="576" spans="1:14">
      <c r="A576" s="1" t="s">
        <v>2689</v>
      </c>
      <c r="B576" s="1" t="s">
        <v>2690</v>
      </c>
      <c r="C576" s="1" t="s">
        <v>1160</v>
      </c>
      <c r="D576" s="1" t="s">
        <v>1208</v>
      </c>
      <c r="E576" s="1" t="s">
        <v>1098</v>
      </c>
      <c r="F576" s="1" t="s">
        <v>1083</v>
      </c>
      <c r="G576" s="1" t="s">
        <v>1106</v>
      </c>
      <c r="H576">
        <v>55</v>
      </c>
      <c r="I576">
        <v>36163</v>
      </c>
      <c r="J576">
        <v>227148</v>
      </c>
      <c r="K576">
        <v>0.33</v>
      </c>
      <c r="L576" s="1" t="s">
        <v>1221</v>
      </c>
      <c r="M576" s="1" t="s">
        <v>1298</v>
      </c>
      <c r="N576" t="s">
        <v>1241</v>
      </c>
    </row>
    <row r="577" spans="1:14">
      <c r="A577" s="1" t="s">
        <v>2691</v>
      </c>
      <c r="B577" s="1" t="s">
        <v>2692</v>
      </c>
      <c r="C577" s="1" t="s">
        <v>1275</v>
      </c>
      <c r="D577" s="1" t="s">
        <v>1097</v>
      </c>
      <c r="E577" s="1" t="s">
        <v>1121</v>
      </c>
      <c r="F577" s="1" t="s">
        <v>1083</v>
      </c>
      <c r="G577" s="1" t="s">
        <v>1133</v>
      </c>
      <c r="H577">
        <v>43</v>
      </c>
      <c r="I577" t="s">
        <v>2693</v>
      </c>
      <c r="J577">
        <v>76819</v>
      </c>
      <c r="K577">
        <v>0</v>
      </c>
      <c r="L577" s="1" t="s">
        <v>1085</v>
      </c>
      <c r="M577" s="1" t="s">
        <v>1116</v>
      </c>
      <c r="N577" t="s">
        <v>2011</v>
      </c>
    </row>
    <row r="578" spans="1:14">
      <c r="A578" s="1" t="s">
        <v>2694</v>
      </c>
      <c r="B578" s="1" t="s">
        <v>2695</v>
      </c>
      <c r="C578" s="1" t="s">
        <v>1126</v>
      </c>
      <c r="D578" s="1" t="s">
        <v>1090</v>
      </c>
      <c r="E578" s="1" t="s">
        <v>1121</v>
      </c>
      <c r="F578" s="1" t="s">
        <v>1083</v>
      </c>
      <c r="G578" s="1" t="s">
        <v>1084</v>
      </c>
      <c r="H578">
        <v>30</v>
      </c>
      <c r="I578">
        <v>44570</v>
      </c>
      <c r="J578">
        <v>66892</v>
      </c>
      <c r="K578">
        <v>0</v>
      </c>
      <c r="L578" s="1" t="s">
        <v>1085</v>
      </c>
      <c r="M578" s="1" t="s">
        <v>1107</v>
      </c>
      <c r="N578" t="s">
        <v>1241</v>
      </c>
    </row>
    <row r="579" spans="1:14">
      <c r="A579" s="1" t="s">
        <v>2696</v>
      </c>
      <c r="B579" s="1" t="s">
        <v>2697</v>
      </c>
      <c r="C579" s="1" t="s">
        <v>1160</v>
      </c>
      <c r="D579" s="1" t="s">
        <v>1148</v>
      </c>
      <c r="E579" s="1" t="s">
        <v>1082</v>
      </c>
      <c r="F579" s="1" t="s">
        <v>1105</v>
      </c>
      <c r="G579" s="1" t="s">
        <v>1133</v>
      </c>
      <c r="H579">
        <v>48</v>
      </c>
      <c r="I579" t="s">
        <v>2698</v>
      </c>
      <c r="J579">
        <v>256084</v>
      </c>
      <c r="K579">
        <v>0.34</v>
      </c>
      <c r="L579" s="1" t="s">
        <v>1085</v>
      </c>
      <c r="M579" s="1" t="s">
        <v>1086</v>
      </c>
      <c r="N579" t="s">
        <v>1241</v>
      </c>
    </row>
    <row r="580" spans="1:14">
      <c r="A580" s="1" t="s">
        <v>2699</v>
      </c>
      <c r="B580" s="1" t="s">
        <v>2700</v>
      </c>
      <c r="C580" s="1" t="s">
        <v>1119</v>
      </c>
      <c r="D580" s="1" t="s">
        <v>1148</v>
      </c>
      <c r="E580" s="1" t="s">
        <v>1121</v>
      </c>
      <c r="F580" s="1" t="s">
        <v>1105</v>
      </c>
      <c r="G580" s="1" t="s">
        <v>1153</v>
      </c>
      <c r="H580">
        <v>60</v>
      </c>
      <c r="I580" t="s">
        <v>2701</v>
      </c>
      <c r="J580">
        <v>85669</v>
      </c>
      <c r="K580">
        <v>0</v>
      </c>
      <c r="L580" s="1" t="s">
        <v>1085</v>
      </c>
      <c r="M580" s="1" t="s">
        <v>1116</v>
      </c>
      <c r="N580" t="s">
        <v>1241</v>
      </c>
    </row>
    <row r="581" spans="1:14">
      <c r="A581" s="1" t="s">
        <v>2702</v>
      </c>
      <c r="B581" s="1" t="s">
        <v>2703</v>
      </c>
      <c r="C581" s="1" t="s">
        <v>1269</v>
      </c>
      <c r="D581" s="1" t="s">
        <v>1097</v>
      </c>
      <c r="E581" s="1" t="s">
        <v>1098</v>
      </c>
      <c r="F581" s="1" t="s">
        <v>1083</v>
      </c>
      <c r="G581" s="1" t="s">
        <v>1084</v>
      </c>
      <c r="H581">
        <v>30</v>
      </c>
      <c r="I581">
        <v>44448</v>
      </c>
      <c r="J581">
        <v>44454</v>
      </c>
      <c r="K581">
        <v>0</v>
      </c>
      <c r="L581" s="1" t="s">
        <v>1100</v>
      </c>
      <c r="M581" s="1" t="s">
        <v>1188</v>
      </c>
      <c r="N581" t="s">
        <v>1241</v>
      </c>
    </row>
    <row r="582" spans="1:14">
      <c r="A582" s="1" t="s">
        <v>2704</v>
      </c>
      <c r="B582" s="1" t="s">
        <v>2705</v>
      </c>
      <c r="C582" s="1" t="s">
        <v>1269</v>
      </c>
      <c r="D582" s="1" t="s">
        <v>1097</v>
      </c>
      <c r="E582" s="1" t="s">
        <v>1121</v>
      </c>
      <c r="F582" s="1" t="s">
        <v>1083</v>
      </c>
      <c r="G582" s="1" t="s">
        <v>1133</v>
      </c>
      <c r="H582">
        <v>25</v>
      </c>
      <c r="I582" t="s">
        <v>2706</v>
      </c>
      <c r="J582">
        <v>54353</v>
      </c>
      <c r="K582">
        <v>0</v>
      </c>
      <c r="L582" s="1" t="s">
        <v>1085</v>
      </c>
      <c r="M582" s="1" t="s">
        <v>1093</v>
      </c>
      <c r="N582" t="s">
        <v>1241</v>
      </c>
    </row>
    <row r="583" spans="1:14">
      <c r="A583" s="1" t="s">
        <v>2707</v>
      </c>
      <c r="B583" s="1" t="s">
        <v>2708</v>
      </c>
      <c r="C583" s="1" t="s">
        <v>1126</v>
      </c>
      <c r="D583" s="1" t="s">
        <v>1090</v>
      </c>
      <c r="E583" s="1" t="s">
        <v>1121</v>
      </c>
      <c r="F583" s="1" t="s">
        <v>1083</v>
      </c>
      <c r="G583" s="1" t="s">
        <v>1106</v>
      </c>
      <c r="H583">
        <v>58</v>
      </c>
      <c r="I583" t="s">
        <v>2709</v>
      </c>
      <c r="J583">
        <v>58867</v>
      </c>
      <c r="K583">
        <v>0</v>
      </c>
      <c r="L583" s="1" t="s">
        <v>1221</v>
      </c>
      <c r="M583" s="1" t="s">
        <v>1222</v>
      </c>
      <c r="N583" t="s">
        <v>1241</v>
      </c>
    </row>
    <row r="584" spans="1:14">
      <c r="A584" s="1" t="s">
        <v>2710</v>
      </c>
      <c r="B584" s="1" t="s">
        <v>2711</v>
      </c>
      <c r="C584" s="1" t="s">
        <v>1136</v>
      </c>
      <c r="D584" s="1" t="s">
        <v>1208</v>
      </c>
      <c r="E584" s="1" t="s">
        <v>1091</v>
      </c>
      <c r="F584" s="1" t="s">
        <v>1083</v>
      </c>
      <c r="G584" s="1" t="s">
        <v>1106</v>
      </c>
      <c r="H584">
        <v>37</v>
      </c>
      <c r="I584" t="s">
        <v>2712</v>
      </c>
      <c r="J584">
        <v>123918</v>
      </c>
      <c r="K584">
        <v>0.08</v>
      </c>
      <c r="L584" s="1" t="s">
        <v>1221</v>
      </c>
      <c r="M584" s="1" t="s">
        <v>1222</v>
      </c>
      <c r="N584" t="s">
        <v>1241</v>
      </c>
    </row>
    <row r="585" spans="1:14">
      <c r="A585" s="1" t="s">
        <v>2713</v>
      </c>
      <c r="B585" s="1" t="s">
        <v>2714</v>
      </c>
      <c r="C585" s="1" t="s">
        <v>1269</v>
      </c>
      <c r="D585" s="1" t="s">
        <v>1097</v>
      </c>
      <c r="E585" s="1" t="s">
        <v>1098</v>
      </c>
      <c r="F585" s="1" t="s">
        <v>1083</v>
      </c>
      <c r="G585" s="1" t="s">
        <v>1084</v>
      </c>
      <c r="H585">
        <v>44</v>
      </c>
      <c r="I585">
        <v>40364</v>
      </c>
      <c r="J585">
        <v>56680</v>
      </c>
      <c r="K585">
        <v>0</v>
      </c>
      <c r="L585" s="1" t="s">
        <v>1085</v>
      </c>
      <c r="M585" s="1" t="s">
        <v>1093</v>
      </c>
      <c r="N585" t="s">
        <v>1241</v>
      </c>
    </row>
    <row r="586" spans="1:14">
      <c r="A586" s="1" t="s">
        <v>2715</v>
      </c>
      <c r="B586" s="1" t="s">
        <v>2716</v>
      </c>
      <c r="C586" s="1" t="s">
        <v>1213</v>
      </c>
      <c r="D586" s="1" t="s">
        <v>1208</v>
      </c>
      <c r="E586" s="1" t="s">
        <v>1098</v>
      </c>
      <c r="F586" s="1" t="s">
        <v>1105</v>
      </c>
      <c r="G586" s="1" t="s">
        <v>1106</v>
      </c>
      <c r="H586">
        <v>53</v>
      </c>
      <c r="I586">
        <v>43718</v>
      </c>
      <c r="J586">
        <v>55206</v>
      </c>
      <c r="K586">
        <v>0</v>
      </c>
      <c r="L586" s="1" t="s">
        <v>1085</v>
      </c>
      <c r="M586" s="1" t="s">
        <v>1137</v>
      </c>
      <c r="N586" t="s">
        <v>1241</v>
      </c>
    </row>
    <row r="587" spans="1:14">
      <c r="A587" s="1" t="s">
        <v>2717</v>
      </c>
      <c r="B587" s="1" t="s">
        <v>2718</v>
      </c>
      <c r="C587" s="1" t="s">
        <v>1110</v>
      </c>
      <c r="D587" s="1" t="s">
        <v>1090</v>
      </c>
      <c r="E587" s="1" t="s">
        <v>1121</v>
      </c>
      <c r="F587" s="1" t="s">
        <v>1105</v>
      </c>
      <c r="G587" s="1" t="s">
        <v>1084</v>
      </c>
      <c r="H587">
        <v>58</v>
      </c>
      <c r="I587" t="s">
        <v>2719</v>
      </c>
      <c r="J587">
        <v>150633</v>
      </c>
      <c r="K587">
        <v>0.19</v>
      </c>
      <c r="L587" s="1" t="s">
        <v>1085</v>
      </c>
      <c r="M587" s="1" t="s">
        <v>1116</v>
      </c>
      <c r="N587" t="s">
        <v>1241</v>
      </c>
    </row>
    <row r="588" spans="1:14">
      <c r="A588" s="1" t="s">
        <v>2720</v>
      </c>
      <c r="B588" s="1" t="s">
        <v>2721</v>
      </c>
      <c r="C588" s="1" t="s">
        <v>1096</v>
      </c>
      <c r="D588" s="1" t="s">
        <v>1097</v>
      </c>
      <c r="E588" s="1" t="s">
        <v>1121</v>
      </c>
      <c r="F588" s="1" t="s">
        <v>1083</v>
      </c>
      <c r="G588" s="1" t="s">
        <v>1133</v>
      </c>
      <c r="H588">
        <v>65</v>
      </c>
      <c r="I588" t="s">
        <v>2722</v>
      </c>
      <c r="J588">
        <v>97379</v>
      </c>
      <c r="K588">
        <v>0</v>
      </c>
      <c r="L588" s="1" t="s">
        <v>1085</v>
      </c>
      <c r="M588" s="1" t="s">
        <v>1107</v>
      </c>
      <c r="N588" t="s">
        <v>1241</v>
      </c>
    </row>
    <row r="589" spans="1:14">
      <c r="A589" s="1" t="s">
        <v>2723</v>
      </c>
      <c r="B589" s="1" t="s">
        <v>2724</v>
      </c>
      <c r="C589" s="1" t="s">
        <v>1110</v>
      </c>
      <c r="D589" s="1" t="s">
        <v>1120</v>
      </c>
      <c r="E589" s="1" t="s">
        <v>1098</v>
      </c>
      <c r="F589" s="1" t="s">
        <v>1083</v>
      </c>
      <c r="G589" s="1" t="s">
        <v>1084</v>
      </c>
      <c r="H589">
        <v>57</v>
      </c>
      <c r="I589" t="s">
        <v>2725</v>
      </c>
      <c r="J589">
        <v>178447</v>
      </c>
      <c r="K589">
        <v>0.22</v>
      </c>
      <c r="L589" s="1" t="s">
        <v>1100</v>
      </c>
      <c r="M589" s="1" t="s">
        <v>1129</v>
      </c>
      <c r="N589" t="s">
        <v>1241</v>
      </c>
    </row>
    <row r="590" spans="1:14">
      <c r="A590" s="1" t="s">
        <v>2726</v>
      </c>
      <c r="B590" s="1" t="s">
        <v>2727</v>
      </c>
      <c r="C590" s="1" t="s">
        <v>1096</v>
      </c>
      <c r="D590" s="1" t="s">
        <v>1097</v>
      </c>
      <c r="E590" s="1" t="s">
        <v>1082</v>
      </c>
      <c r="F590" s="1" t="s">
        <v>1083</v>
      </c>
      <c r="G590" s="1" t="s">
        <v>1106</v>
      </c>
      <c r="H590">
        <v>31</v>
      </c>
      <c r="I590" t="s">
        <v>2728</v>
      </c>
      <c r="J590">
        <v>60827</v>
      </c>
      <c r="K590">
        <v>0</v>
      </c>
      <c r="L590" s="1" t="s">
        <v>1085</v>
      </c>
      <c r="M590" s="1" t="s">
        <v>1116</v>
      </c>
      <c r="N590" t="s">
        <v>1241</v>
      </c>
    </row>
    <row r="591" spans="1:14">
      <c r="A591" s="1" t="s">
        <v>2729</v>
      </c>
      <c r="B591" s="1" t="s">
        <v>2730</v>
      </c>
      <c r="C591" s="1" t="s">
        <v>1412</v>
      </c>
      <c r="D591" s="1" t="s">
        <v>1081</v>
      </c>
      <c r="E591" s="1" t="s">
        <v>1082</v>
      </c>
      <c r="F591" s="1" t="s">
        <v>1083</v>
      </c>
      <c r="G591" s="1" t="s">
        <v>1084</v>
      </c>
      <c r="H591">
        <v>32</v>
      </c>
      <c r="I591" t="s">
        <v>2731</v>
      </c>
      <c r="J591">
        <v>96951</v>
      </c>
      <c r="K591">
        <v>0.13</v>
      </c>
      <c r="L591" s="1" t="s">
        <v>1100</v>
      </c>
      <c r="M591" s="1" t="s">
        <v>1129</v>
      </c>
      <c r="N591" t="s">
        <v>1241</v>
      </c>
    </row>
    <row r="592" spans="1:14">
      <c r="A592" s="1" t="s">
        <v>2732</v>
      </c>
      <c r="B592" s="1" t="s">
        <v>2733</v>
      </c>
      <c r="C592" s="1" t="s">
        <v>1136</v>
      </c>
      <c r="D592" s="1" t="s">
        <v>1120</v>
      </c>
      <c r="E592" s="1" t="s">
        <v>1121</v>
      </c>
      <c r="F592" s="1" t="s">
        <v>1083</v>
      </c>
      <c r="G592" s="1" t="s">
        <v>1133</v>
      </c>
      <c r="H592">
        <v>48</v>
      </c>
      <c r="I592">
        <v>37043</v>
      </c>
      <c r="J592">
        <v>103051</v>
      </c>
      <c r="K592">
        <v>0.09</v>
      </c>
      <c r="L592" s="1" t="s">
        <v>1085</v>
      </c>
      <c r="M592" s="1" t="s">
        <v>1116</v>
      </c>
      <c r="N592" t="s">
        <v>1241</v>
      </c>
    </row>
    <row r="593" spans="1:14">
      <c r="A593" s="1" t="s">
        <v>2734</v>
      </c>
      <c r="B593" s="1" t="s">
        <v>2735</v>
      </c>
      <c r="C593" s="1" t="s">
        <v>1160</v>
      </c>
      <c r="D593" s="1" t="s">
        <v>1097</v>
      </c>
      <c r="E593" s="1" t="s">
        <v>1121</v>
      </c>
      <c r="F593" s="1" t="s">
        <v>1105</v>
      </c>
      <c r="G593" s="1" t="s">
        <v>1084</v>
      </c>
      <c r="H593">
        <v>55</v>
      </c>
      <c r="I593" t="s">
        <v>2736</v>
      </c>
      <c r="J593">
        <v>256592</v>
      </c>
      <c r="K593">
        <v>0.3</v>
      </c>
      <c r="L593" s="1" t="s">
        <v>1100</v>
      </c>
      <c r="M593" s="1" t="s">
        <v>1188</v>
      </c>
      <c r="N593" t="s">
        <v>2737</v>
      </c>
    </row>
    <row r="594" spans="1:14">
      <c r="A594" s="1" t="s">
        <v>2738</v>
      </c>
      <c r="B594" s="1" t="s">
        <v>2739</v>
      </c>
      <c r="C594" s="1" t="s">
        <v>1594</v>
      </c>
      <c r="D594" s="1" t="s">
        <v>1081</v>
      </c>
      <c r="E594" s="1" t="s">
        <v>1121</v>
      </c>
      <c r="F594" s="1" t="s">
        <v>1105</v>
      </c>
      <c r="G594" s="1" t="s">
        <v>1133</v>
      </c>
      <c r="H594">
        <v>52</v>
      </c>
      <c r="I594">
        <v>42923</v>
      </c>
      <c r="J594">
        <v>79323</v>
      </c>
      <c r="K594">
        <v>0</v>
      </c>
      <c r="L594" s="1" t="s">
        <v>1085</v>
      </c>
      <c r="M594" s="1" t="s">
        <v>1093</v>
      </c>
      <c r="N594" t="s">
        <v>1241</v>
      </c>
    </row>
    <row r="595" spans="1:14">
      <c r="A595" s="1" t="s">
        <v>2740</v>
      </c>
      <c r="B595" s="1" t="s">
        <v>2741</v>
      </c>
      <c r="C595" s="1" t="s">
        <v>1594</v>
      </c>
      <c r="D595" s="1" t="s">
        <v>1081</v>
      </c>
      <c r="E595" s="1" t="s">
        <v>1098</v>
      </c>
      <c r="F595" s="1" t="s">
        <v>1105</v>
      </c>
      <c r="G595" s="1" t="s">
        <v>1106</v>
      </c>
      <c r="H595">
        <v>27</v>
      </c>
      <c r="I595">
        <v>44537</v>
      </c>
      <c r="J595">
        <v>75583</v>
      </c>
      <c r="K595">
        <v>0</v>
      </c>
      <c r="L595" s="1" t="s">
        <v>1221</v>
      </c>
      <c r="M595" s="1" t="s">
        <v>1443</v>
      </c>
      <c r="N595" t="s">
        <v>1241</v>
      </c>
    </row>
    <row r="596" spans="1:14">
      <c r="A596" s="1" t="s">
        <v>2742</v>
      </c>
      <c r="B596" s="1" t="s">
        <v>2743</v>
      </c>
      <c r="C596" s="1" t="s">
        <v>1177</v>
      </c>
      <c r="D596" s="1" t="s">
        <v>1090</v>
      </c>
      <c r="E596" s="1" t="s">
        <v>1121</v>
      </c>
      <c r="F596" s="1" t="s">
        <v>1105</v>
      </c>
      <c r="G596" s="1" t="s">
        <v>1133</v>
      </c>
      <c r="H596">
        <v>36</v>
      </c>
      <c r="I596">
        <v>41130</v>
      </c>
      <c r="J596">
        <v>73646</v>
      </c>
      <c r="K596">
        <v>0</v>
      </c>
      <c r="L596" s="1" t="s">
        <v>1085</v>
      </c>
      <c r="M596" s="1" t="s">
        <v>1112</v>
      </c>
      <c r="N596" t="s">
        <v>1241</v>
      </c>
    </row>
    <row r="597" spans="1:14">
      <c r="A597" s="1" t="s">
        <v>2744</v>
      </c>
      <c r="B597" s="1" t="s">
        <v>2745</v>
      </c>
      <c r="C597" s="1" t="s">
        <v>1358</v>
      </c>
      <c r="D597" s="1" t="s">
        <v>1097</v>
      </c>
      <c r="E597" s="1" t="s">
        <v>1121</v>
      </c>
      <c r="F597" s="1" t="s">
        <v>1083</v>
      </c>
      <c r="G597" s="1" t="s">
        <v>1133</v>
      </c>
      <c r="H597">
        <v>36</v>
      </c>
      <c r="I597">
        <v>44750</v>
      </c>
      <c r="J597">
        <v>64937</v>
      </c>
      <c r="K597">
        <v>0</v>
      </c>
      <c r="L597" s="1" t="s">
        <v>1085</v>
      </c>
      <c r="M597" s="1" t="s">
        <v>1137</v>
      </c>
      <c r="N597" t="s">
        <v>1241</v>
      </c>
    </row>
    <row r="598" spans="1:14">
      <c r="A598" s="1" t="s">
        <v>2746</v>
      </c>
      <c r="B598" s="1" t="s">
        <v>2747</v>
      </c>
      <c r="C598" s="1" t="s">
        <v>1136</v>
      </c>
      <c r="D598" s="1" t="s">
        <v>1090</v>
      </c>
      <c r="E598" s="1" t="s">
        <v>1082</v>
      </c>
      <c r="F598" s="1" t="s">
        <v>1083</v>
      </c>
      <c r="G598" s="1" t="s">
        <v>1106</v>
      </c>
      <c r="H598">
        <v>42</v>
      </c>
      <c r="I598">
        <v>43775</v>
      </c>
      <c r="J598">
        <v>112146</v>
      </c>
      <c r="K598">
        <v>0.06</v>
      </c>
      <c r="L598" s="1" t="s">
        <v>1085</v>
      </c>
      <c r="M598" s="1" t="s">
        <v>1137</v>
      </c>
      <c r="N598" t="s">
        <v>1241</v>
      </c>
    </row>
    <row r="599" spans="1:14">
      <c r="A599" s="1" t="s">
        <v>2748</v>
      </c>
      <c r="B599" s="1" t="s">
        <v>2749</v>
      </c>
      <c r="C599" s="1" t="s">
        <v>1119</v>
      </c>
      <c r="D599" s="1" t="s">
        <v>1148</v>
      </c>
      <c r="E599" s="1" t="s">
        <v>1098</v>
      </c>
      <c r="F599" s="1" t="s">
        <v>1083</v>
      </c>
      <c r="G599" s="1" t="s">
        <v>1133</v>
      </c>
      <c r="H599">
        <v>48</v>
      </c>
      <c r="I599" t="s">
        <v>2750</v>
      </c>
      <c r="J599">
        <v>83332</v>
      </c>
      <c r="K599">
        <v>0</v>
      </c>
      <c r="L599" s="1" t="s">
        <v>1085</v>
      </c>
      <c r="M599" s="1" t="s">
        <v>1112</v>
      </c>
      <c r="N599" t="s">
        <v>1241</v>
      </c>
    </row>
    <row r="600" spans="1:14">
      <c r="A600" s="1" t="s">
        <v>2751</v>
      </c>
      <c r="B600" s="1" t="s">
        <v>2752</v>
      </c>
      <c r="C600" s="1" t="s">
        <v>1294</v>
      </c>
      <c r="D600" s="1" t="s">
        <v>1097</v>
      </c>
      <c r="E600" s="1" t="s">
        <v>1121</v>
      </c>
      <c r="F600" s="1" t="s">
        <v>1105</v>
      </c>
      <c r="G600" s="1" t="s">
        <v>1084</v>
      </c>
      <c r="H600">
        <v>42</v>
      </c>
      <c r="I600">
        <v>39756</v>
      </c>
      <c r="J600">
        <v>66248</v>
      </c>
      <c r="K600">
        <v>7.0000000000000007E-2</v>
      </c>
      <c r="L600" s="1" t="s">
        <v>1100</v>
      </c>
      <c r="M600" s="1" t="s">
        <v>1123</v>
      </c>
      <c r="N600" t="s">
        <v>1241</v>
      </c>
    </row>
    <row r="601" spans="1:14">
      <c r="A601" s="1" t="s">
        <v>2753</v>
      </c>
      <c r="B601" s="1" t="s">
        <v>2754</v>
      </c>
      <c r="C601" s="1" t="s">
        <v>1152</v>
      </c>
      <c r="D601" s="1" t="s">
        <v>1208</v>
      </c>
      <c r="E601" s="1" t="s">
        <v>1098</v>
      </c>
      <c r="F601" s="1" t="s">
        <v>1083</v>
      </c>
      <c r="G601" s="1" t="s">
        <v>1084</v>
      </c>
      <c r="H601">
        <v>37</v>
      </c>
      <c r="I601" t="s">
        <v>2755</v>
      </c>
      <c r="J601">
        <v>127238</v>
      </c>
      <c r="K601">
        <v>0.15</v>
      </c>
      <c r="L601" s="1" t="s">
        <v>1100</v>
      </c>
      <c r="M601" s="1" t="s">
        <v>1101</v>
      </c>
      <c r="N601" t="s">
        <v>1241</v>
      </c>
    </row>
    <row r="602" spans="1:14">
      <c r="A602" s="1" t="s">
        <v>2756</v>
      </c>
      <c r="B602" s="1" t="s">
        <v>2757</v>
      </c>
      <c r="C602" s="1" t="s">
        <v>1560</v>
      </c>
      <c r="D602" s="1" t="s">
        <v>1097</v>
      </c>
      <c r="E602" s="1" t="s">
        <v>1121</v>
      </c>
      <c r="F602" s="1" t="s">
        <v>1105</v>
      </c>
      <c r="G602" s="1" t="s">
        <v>1084</v>
      </c>
      <c r="H602">
        <v>55</v>
      </c>
      <c r="I602" t="s">
        <v>2758</v>
      </c>
      <c r="J602">
        <v>87857</v>
      </c>
      <c r="K602">
        <v>0</v>
      </c>
      <c r="L602" s="1" t="s">
        <v>1085</v>
      </c>
      <c r="M602" s="1" t="s">
        <v>1112</v>
      </c>
      <c r="N602" t="s">
        <v>1241</v>
      </c>
    </row>
    <row r="603" spans="1:14">
      <c r="A603" s="1" t="s">
        <v>2759</v>
      </c>
      <c r="B603" s="1" t="s">
        <v>2760</v>
      </c>
      <c r="C603" s="1" t="s">
        <v>1384</v>
      </c>
      <c r="D603" s="1" t="s">
        <v>1208</v>
      </c>
      <c r="E603" s="1" t="s">
        <v>1121</v>
      </c>
      <c r="F603" s="1" t="s">
        <v>1105</v>
      </c>
      <c r="G603" s="1" t="s">
        <v>1084</v>
      </c>
      <c r="H603">
        <v>62</v>
      </c>
      <c r="I603" t="s">
        <v>2761</v>
      </c>
      <c r="J603">
        <v>51454</v>
      </c>
      <c r="K603">
        <v>0</v>
      </c>
      <c r="L603" s="1" t="s">
        <v>1085</v>
      </c>
      <c r="M603" s="1" t="s">
        <v>1107</v>
      </c>
      <c r="N603" t="s">
        <v>1241</v>
      </c>
    </row>
    <row r="604" spans="1:14">
      <c r="A604" s="1" t="s">
        <v>2762</v>
      </c>
      <c r="B604" s="1" t="s">
        <v>2763</v>
      </c>
      <c r="C604" s="1" t="s">
        <v>1152</v>
      </c>
      <c r="D604" s="1" t="s">
        <v>1120</v>
      </c>
      <c r="E604" s="1" t="s">
        <v>1121</v>
      </c>
      <c r="F604" s="1" t="s">
        <v>1105</v>
      </c>
      <c r="G604" s="1" t="s">
        <v>1106</v>
      </c>
      <c r="H604">
        <v>29</v>
      </c>
      <c r="I604" t="s">
        <v>2764</v>
      </c>
      <c r="J604">
        <v>128066</v>
      </c>
      <c r="K604">
        <v>0.11</v>
      </c>
      <c r="L604" s="1" t="s">
        <v>1085</v>
      </c>
      <c r="M604" s="1" t="s">
        <v>1107</v>
      </c>
      <c r="N604" t="s">
        <v>1241</v>
      </c>
    </row>
    <row r="605" spans="1:14">
      <c r="A605" s="1" t="s">
        <v>2765</v>
      </c>
      <c r="B605" s="1" t="s">
        <v>2766</v>
      </c>
      <c r="C605" s="1" t="s">
        <v>1152</v>
      </c>
      <c r="D605" s="1" t="s">
        <v>1208</v>
      </c>
      <c r="E605" s="1" t="s">
        <v>1091</v>
      </c>
      <c r="F605" s="1" t="s">
        <v>1105</v>
      </c>
      <c r="G605" s="1" t="s">
        <v>1106</v>
      </c>
      <c r="H605">
        <v>29</v>
      </c>
      <c r="I605" t="s">
        <v>2767</v>
      </c>
      <c r="J605">
        <v>130790</v>
      </c>
      <c r="K605">
        <v>0.1</v>
      </c>
      <c r="L605" s="1" t="s">
        <v>1221</v>
      </c>
      <c r="M605" s="1" t="s">
        <v>1222</v>
      </c>
      <c r="N605" t="s">
        <v>1241</v>
      </c>
    </row>
    <row r="606" spans="1:14">
      <c r="A606" s="1" t="s">
        <v>2768</v>
      </c>
      <c r="B606" s="1" t="s">
        <v>2769</v>
      </c>
      <c r="C606" s="1" t="s">
        <v>1160</v>
      </c>
      <c r="D606" s="1" t="s">
        <v>1208</v>
      </c>
      <c r="E606" s="1" t="s">
        <v>1082</v>
      </c>
      <c r="F606" s="1" t="s">
        <v>1105</v>
      </c>
      <c r="G606" s="1" t="s">
        <v>1106</v>
      </c>
      <c r="H606">
        <v>45</v>
      </c>
      <c r="I606" t="s">
        <v>2770</v>
      </c>
      <c r="J606">
        <v>233342</v>
      </c>
      <c r="K606">
        <v>0.37</v>
      </c>
      <c r="L606" s="1" t="s">
        <v>1085</v>
      </c>
      <c r="M606" s="1" t="s">
        <v>1112</v>
      </c>
      <c r="N606" t="s">
        <v>1241</v>
      </c>
    </row>
    <row r="607" spans="1:14">
      <c r="A607" s="1" t="s">
        <v>2771</v>
      </c>
      <c r="B607" s="1" t="s">
        <v>2772</v>
      </c>
      <c r="C607" s="1" t="s">
        <v>1089</v>
      </c>
      <c r="D607" s="1" t="s">
        <v>1148</v>
      </c>
      <c r="E607" s="1" t="s">
        <v>1082</v>
      </c>
      <c r="F607" s="1" t="s">
        <v>1083</v>
      </c>
      <c r="G607" s="1" t="s">
        <v>1133</v>
      </c>
      <c r="H607">
        <v>57</v>
      </c>
      <c r="I607">
        <v>39913</v>
      </c>
      <c r="J607">
        <v>54155</v>
      </c>
      <c r="K607">
        <v>0</v>
      </c>
      <c r="L607" s="1" t="s">
        <v>1085</v>
      </c>
      <c r="M607" s="1" t="s">
        <v>1112</v>
      </c>
      <c r="N607" t="s">
        <v>1241</v>
      </c>
    </row>
    <row r="608" spans="1:14">
      <c r="A608" s="1" t="s">
        <v>2773</v>
      </c>
      <c r="B608" s="1" t="s">
        <v>2774</v>
      </c>
      <c r="C608" s="1" t="s">
        <v>1160</v>
      </c>
      <c r="D608" s="1" t="s">
        <v>1148</v>
      </c>
      <c r="E608" s="1" t="s">
        <v>1082</v>
      </c>
      <c r="F608" s="1" t="s">
        <v>1083</v>
      </c>
      <c r="G608" s="1" t="s">
        <v>1084</v>
      </c>
      <c r="H608">
        <v>31</v>
      </c>
      <c r="I608">
        <v>43625</v>
      </c>
      <c r="J608">
        <v>189403</v>
      </c>
      <c r="K608">
        <v>0.36</v>
      </c>
      <c r="L608" s="1" t="s">
        <v>1100</v>
      </c>
      <c r="M608" s="1" t="s">
        <v>1101</v>
      </c>
      <c r="N608" t="s">
        <v>2775</v>
      </c>
    </row>
    <row r="609" spans="1:14">
      <c r="A609" s="1" t="s">
        <v>2776</v>
      </c>
      <c r="B609" s="1" t="s">
        <v>2777</v>
      </c>
      <c r="C609" s="1" t="s">
        <v>1119</v>
      </c>
      <c r="D609" s="1" t="s">
        <v>1120</v>
      </c>
      <c r="E609" s="1" t="s">
        <v>1082</v>
      </c>
      <c r="F609" s="1" t="s">
        <v>1105</v>
      </c>
      <c r="G609" s="1" t="s">
        <v>1084</v>
      </c>
      <c r="H609">
        <v>31</v>
      </c>
      <c r="I609" t="s">
        <v>2778</v>
      </c>
      <c r="J609">
        <v>78732</v>
      </c>
      <c r="K609">
        <v>0</v>
      </c>
      <c r="L609" s="1" t="s">
        <v>1100</v>
      </c>
      <c r="M609" s="1" t="s">
        <v>1101</v>
      </c>
      <c r="N609">
        <v>43772</v>
      </c>
    </row>
    <row r="610" spans="1:14">
      <c r="A610" s="1" t="s">
        <v>2779</v>
      </c>
      <c r="B610" s="1" t="s">
        <v>2780</v>
      </c>
      <c r="C610" s="1" t="s">
        <v>1089</v>
      </c>
      <c r="D610" s="1" t="s">
        <v>1120</v>
      </c>
      <c r="E610" s="1" t="s">
        <v>1082</v>
      </c>
      <c r="F610" s="1" t="s">
        <v>1083</v>
      </c>
      <c r="G610" s="1" t="s">
        <v>1133</v>
      </c>
      <c r="H610">
        <v>47</v>
      </c>
      <c r="I610" t="s">
        <v>2781</v>
      </c>
      <c r="J610">
        <v>55401</v>
      </c>
      <c r="K610">
        <v>0</v>
      </c>
      <c r="L610" s="1" t="s">
        <v>1085</v>
      </c>
      <c r="M610" s="1" t="s">
        <v>1086</v>
      </c>
      <c r="N610" t="s">
        <v>1241</v>
      </c>
    </row>
    <row r="611" spans="1:14">
      <c r="A611" s="1" t="s">
        <v>2782</v>
      </c>
      <c r="B611" s="1" t="s">
        <v>2783</v>
      </c>
      <c r="C611" s="1" t="s">
        <v>1132</v>
      </c>
      <c r="D611" s="1" t="s">
        <v>1097</v>
      </c>
      <c r="E611" s="1" t="s">
        <v>1082</v>
      </c>
      <c r="F611" s="1" t="s">
        <v>1083</v>
      </c>
      <c r="G611" s="1" t="s">
        <v>1106</v>
      </c>
      <c r="H611">
        <v>60</v>
      </c>
      <c r="I611">
        <v>39058</v>
      </c>
      <c r="J611">
        <v>82343</v>
      </c>
      <c r="K611">
        <v>0</v>
      </c>
      <c r="L611" s="1" t="s">
        <v>1085</v>
      </c>
      <c r="M611" s="1" t="s">
        <v>1112</v>
      </c>
      <c r="N611" t="s">
        <v>1241</v>
      </c>
    </row>
    <row r="612" spans="1:14">
      <c r="A612" s="1" t="s">
        <v>2784</v>
      </c>
      <c r="B612" s="1" t="s">
        <v>2785</v>
      </c>
      <c r="C612" s="1" t="s">
        <v>1601</v>
      </c>
      <c r="D612" s="1" t="s">
        <v>1081</v>
      </c>
      <c r="E612" s="1" t="s">
        <v>1098</v>
      </c>
      <c r="F612" s="1" t="s">
        <v>1083</v>
      </c>
      <c r="G612" s="1" t="s">
        <v>1106</v>
      </c>
      <c r="H612">
        <v>42</v>
      </c>
      <c r="I612" t="s">
        <v>2786</v>
      </c>
      <c r="J612">
        <v>66226</v>
      </c>
      <c r="K612">
        <v>0</v>
      </c>
      <c r="L612" s="1" t="s">
        <v>1221</v>
      </c>
      <c r="M612" s="1" t="s">
        <v>1298</v>
      </c>
      <c r="N612" t="s">
        <v>1241</v>
      </c>
    </row>
    <row r="613" spans="1:14">
      <c r="A613" s="1" t="s">
        <v>2787</v>
      </c>
      <c r="B613" s="1" t="s">
        <v>2788</v>
      </c>
      <c r="C613" s="1" t="s">
        <v>1160</v>
      </c>
      <c r="D613" s="1" t="s">
        <v>1097</v>
      </c>
      <c r="E613" s="1" t="s">
        <v>1082</v>
      </c>
      <c r="F613" s="1" t="s">
        <v>1105</v>
      </c>
      <c r="G613" s="1" t="s">
        <v>1084</v>
      </c>
      <c r="H613">
        <v>26</v>
      </c>
      <c r="I613">
        <v>44267</v>
      </c>
      <c r="J613">
        <v>193435</v>
      </c>
      <c r="K613">
        <v>0.31</v>
      </c>
      <c r="L613" s="1" t="s">
        <v>1085</v>
      </c>
      <c r="M613" s="1" t="s">
        <v>1093</v>
      </c>
      <c r="N613" t="s">
        <v>1241</v>
      </c>
    </row>
    <row r="614" spans="1:14">
      <c r="A614" s="1" t="s">
        <v>2789</v>
      </c>
      <c r="B614" s="1" t="s">
        <v>2790</v>
      </c>
      <c r="C614" s="1" t="s">
        <v>1136</v>
      </c>
      <c r="D614" s="1" t="s">
        <v>1127</v>
      </c>
      <c r="E614" s="1" t="s">
        <v>1091</v>
      </c>
      <c r="F614" s="1" t="s">
        <v>1083</v>
      </c>
      <c r="G614" s="1" t="s">
        <v>1133</v>
      </c>
      <c r="H614">
        <v>57</v>
      </c>
      <c r="I614" t="s">
        <v>2791</v>
      </c>
      <c r="J614">
        <v>114241</v>
      </c>
      <c r="K614">
        <v>0.1</v>
      </c>
      <c r="L614" s="1" t="s">
        <v>1085</v>
      </c>
      <c r="M614" s="1" t="s">
        <v>1137</v>
      </c>
      <c r="N614" t="s">
        <v>1241</v>
      </c>
    </row>
    <row r="615" spans="1:14">
      <c r="A615" s="1" t="s">
        <v>2792</v>
      </c>
      <c r="B615" s="1" t="s">
        <v>2793</v>
      </c>
      <c r="C615" s="1" t="s">
        <v>1110</v>
      </c>
      <c r="D615" s="1" t="s">
        <v>1081</v>
      </c>
      <c r="E615" s="1" t="s">
        <v>1098</v>
      </c>
      <c r="F615" s="1" t="s">
        <v>1105</v>
      </c>
      <c r="G615" s="1" t="s">
        <v>1106</v>
      </c>
      <c r="H615">
        <v>25</v>
      </c>
      <c r="I615">
        <v>44876</v>
      </c>
      <c r="J615">
        <v>177264</v>
      </c>
      <c r="K615">
        <v>0.16</v>
      </c>
      <c r="L615" s="1" t="s">
        <v>1221</v>
      </c>
      <c r="M615" s="1" t="s">
        <v>1443</v>
      </c>
      <c r="N615" t="s">
        <v>1241</v>
      </c>
    </row>
    <row r="616" spans="1:14">
      <c r="A616" s="1" t="s">
        <v>2794</v>
      </c>
      <c r="B616" s="1" t="s">
        <v>2795</v>
      </c>
      <c r="C616" s="1" t="s">
        <v>1213</v>
      </c>
      <c r="D616" s="1" t="s">
        <v>1208</v>
      </c>
      <c r="E616" s="1" t="s">
        <v>1091</v>
      </c>
      <c r="F616" s="1" t="s">
        <v>1083</v>
      </c>
      <c r="G616" s="1" t="s">
        <v>1084</v>
      </c>
      <c r="H616">
        <v>53</v>
      </c>
      <c r="I616">
        <v>42708</v>
      </c>
      <c r="J616">
        <v>58010</v>
      </c>
      <c r="K616">
        <v>0</v>
      </c>
      <c r="L616" s="1" t="s">
        <v>1085</v>
      </c>
      <c r="M616" s="1" t="s">
        <v>1107</v>
      </c>
      <c r="N616" t="s">
        <v>1241</v>
      </c>
    </row>
    <row r="617" spans="1:14">
      <c r="A617" s="1" t="s">
        <v>2796</v>
      </c>
      <c r="B617" s="1" t="s">
        <v>2797</v>
      </c>
      <c r="C617" s="1" t="s">
        <v>1110</v>
      </c>
      <c r="D617" s="1" t="s">
        <v>1097</v>
      </c>
      <c r="E617" s="1" t="s">
        <v>1121</v>
      </c>
      <c r="F617" s="1" t="s">
        <v>1083</v>
      </c>
      <c r="G617" s="1" t="s">
        <v>1153</v>
      </c>
      <c r="H617">
        <v>43</v>
      </c>
      <c r="I617" t="s">
        <v>2798</v>
      </c>
      <c r="J617">
        <v>154284</v>
      </c>
      <c r="K617">
        <v>0.25</v>
      </c>
      <c r="L617" s="1" t="s">
        <v>1085</v>
      </c>
      <c r="M617" s="1" t="s">
        <v>1093</v>
      </c>
      <c r="N617" t="s">
        <v>1241</v>
      </c>
    </row>
    <row r="618" spans="1:14">
      <c r="A618" s="1" t="s">
        <v>2799</v>
      </c>
      <c r="B618" s="1" t="s">
        <v>2800</v>
      </c>
      <c r="C618" s="1" t="s">
        <v>1089</v>
      </c>
      <c r="D618" s="1" t="s">
        <v>1120</v>
      </c>
      <c r="E618" s="1" t="s">
        <v>1091</v>
      </c>
      <c r="F618" s="1" t="s">
        <v>1105</v>
      </c>
      <c r="G618" s="1" t="s">
        <v>1133</v>
      </c>
      <c r="H618">
        <v>49</v>
      </c>
      <c r="I618" t="s">
        <v>2457</v>
      </c>
      <c r="J618">
        <v>54633</v>
      </c>
      <c r="K618">
        <v>0</v>
      </c>
      <c r="L618" s="1" t="s">
        <v>1085</v>
      </c>
      <c r="M618" s="1" t="s">
        <v>1093</v>
      </c>
      <c r="N618" t="s">
        <v>1241</v>
      </c>
    </row>
    <row r="619" spans="1:14">
      <c r="A619" s="1" t="s">
        <v>2801</v>
      </c>
      <c r="B619" s="1" t="s">
        <v>2802</v>
      </c>
      <c r="C619" s="1" t="s">
        <v>1213</v>
      </c>
      <c r="D619" s="1" t="s">
        <v>1208</v>
      </c>
      <c r="E619" s="1" t="s">
        <v>1098</v>
      </c>
      <c r="F619" s="1" t="s">
        <v>1105</v>
      </c>
      <c r="G619" s="1" t="s">
        <v>1084</v>
      </c>
      <c r="H619">
        <v>61</v>
      </c>
      <c r="I619" t="s">
        <v>2803</v>
      </c>
      <c r="J619">
        <v>42829</v>
      </c>
      <c r="K619">
        <v>0</v>
      </c>
      <c r="L619" s="1" t="s">
        <v>1085</v>
      </c>
      <c r="M619" s="1" t="s">
        <v>1086</v>
      </c>
      <c r="N619" t="s">
        <v>1241</v>
      </c>
    </row>
    <row r="620" spans="1:14">
      <c r="A620" s="1" t="s">
        <v>2804</v>
      </c>
      <c r="B620" s="1" t="s">
        <v>2805</v>
      </c>
      <c r="C620" s="1" t="s">
        <v>1412</v>
      </c>
      <c r="D620" s="1" t="s">
        <v>1081</v>
      </c>
      <c r="E620" s="1" t="s">
        <v>1098</v>
      </c>
      <c r="F620" s="1" t="s">
        <v>1083</v>
      </c>
      <c r="G620" s="1" t="s">
        <v>1106</v>
      </c>
      <c r="H620">
        <v>41</v>
      </c>
      <c r="I620" t="s">
        <v>2806</v>
      </c>
      <c r="J620">
        <v>118973</v>
      </c>
      <c r="K620">
        <v>0.1</v>
      </c>
      <c r="L620" s="1" t="s">
        <v>1085</v>
      </c>
      <c r="M620" s="1" t="s">
        <v>1116</v>
      </c>
      <c r="N620" t="s">
        <v>1241</v>
      </c>
    </row>
    <row r="621" spans="1:14">
      <c r="A621" s="1" t="s">
        <v>2807</v>
      </c>
      <c r="B621" s="1" t="s">
        <v>2808</v>
      </c>
      <c r="C621" s="1" t="s">
        <v>1560</v>
      </c>
      <c r="D621" s="1" t="s">
        <v>1097</v>
      </c>
      <c r="E621" s="1" t="s">
        <v>1082</v>
      </c>
      <c r="F621" s="1" t="s">
        <v>1105</v>
      </c>
      <c r="G621" s="1" t="s">
        <v>1133</v>
      </c>
      <c r="H621">
        <v>56</v>
      </c>
      <c r="I621" t="s">
        <v>2809</v>
      </c>
      <c r="J621">
        <v>61251</v>
      </c>
      <c r="K621">
        <v>0</v>
      </c>
      <c r="L621" s="1" t="s">
        <v>1085</v>
      </c>
      <c r="M621" s="1" t="s">
        <v>1137</v>
      </c>
      <c r="N621" t="s">
        <v>1241</v>
      </c>
    </row>
    <row r="622" spans="1:14">
      <c r="A622" s="1" t="s">
        <v>2810</v>
      </c>
      <c r="B622" s="1" t="s">
        <v>2811</v>
      </c>
      <c r="C622" s="1" t="s">
        <v>1412</v>
      </c>
      <c r="D622" s="1" t="s">
        <v>1081</v>
      </c>
      <c r="E622" s="1" t="s">
        <v>1121</v>
      </c>
      <c r="F622" s="1" t="s">
        <v>1083</v>
      </c>
      <c r="G622" s="1" t="s">
        <v>1133</v>
      </c>
      <c r="H622">
        <v>49</v>
      </c>
      <c r="I622" t="s">
        <v>2812</v>
      </c>
      <c r="J622">
        <v>108636</v>
      </c>
      <c r="K622">
        <v>0.1</v>
      </c>
      <c r="L622" s="1" t="s">
        <v>1085</v>
      </c>
      <c r="M622" s="1" t="s">
        <v>1086</v>
      </c>
      <c r="N622" t="s">
        <v>1241</v>
      </c>
    </row>
    <row r="623" spans="1:14">
      <c r="A623" s="1" t="s">
        <v>2813</v>
      </c>
      <c r="B623" s="1" t="s">
        <v>2814</v>
      </c>
      <c r="C623" s="1" t="s">
        <v>1446</v>
      </c>
      <c r="D623" s="1" t="s">
        <v>1081</v>
      </c>
      <c r="E623" s="1" t="s">
        <v>1121</v>
      </c>
      <c r="F623" s="1" t="s">
        <v>1105</v>
      </c>
      <c r="G623" s="1" t="s">
        <v>1084</v>
      </c>
      <c r="H623">
        <v>32</v>
      </c>
      <c r="I623" t="s">
        <v>2815</v>
      </c>
      <c r="J623">
        <v>68780</v>
      </c>
      <c r="K623">
        <v>0</v>
      </c>
      <c r="L623" s="1" t="s">
        <v>1100</v>
      </c>
      <c r="M623" s="1" t="s">
        <v>1188</v>
      </c>
      <c r="N623" t="s">
        <v>1241</v>
      </c>
    </row>
    <row r="624" spans="1:14">
      <c r="A624" s="1" t="s">
        <v>2816</v>
      </c>
      <c r="B624" s="1" t="s">
        <v>2817</v>
      </c>
      <c r="C624" s="1" t="s">
        <v>1126</v>
      </c>
      <c r="D624" s="1" t="s">
        <v>1120</v>
      </c>
      <c r="E624" s="1" t="s">
        <v>1091</v>
      </c>
      <c r="F624" s="1" t="s">
        <v>1105</v>
      </c>
      <c r="G624" s="1" t="s">
        <v>1133</v>
      </c>
      <c r="H624">
        <v>30</v>
      </c>
      <c r="I624">
        <v>42651</v>
      </c>
      <c r="J624">
        <v>60261</v>
      </c>
      <c r="K624">
        <v>0</v>
      </c>
      <c r="L624" s="1" t="s">
        <v>1085</v>
      </c>
      <c r="M624" s="1" t="s">
        <v>1107</v>
      </c>
      <c r="N624" t="s">
        <v>1241</v>
      </c>
    </row>
    <row r="625" spans="1:14">
      <c r="A625" s="1" t="s">
        <v>2818</v>
      </c>
      <c r="B625" s="1" t="s">
        <v>2819</v>
      </c>
      <c r="C625" s="1" t="s">
        <v>1136</v>
      </c>
      <c r="D625" s="1" t="s">
        <v>1127</v>
      </c>
      <c r="E625" s="1" t="s">
        <v>1121</v>
      </c>
      <c r="F625" s="1" t="s">
        <v>1083</v>
      </c>
      <c r="G625" s="1" t="s">
        <v>1084</v>
      </c>
      <c r="H625">
        <v>64</v>
      </c>
      <c r="I625" t="s">
        <v>2820</v>
      </c>
      <c r="J625">
        <v>100951</v>
      </c>
      <c r="K625">
        <v>0.05</v>
      </c>
      <c r="L625" s="1" t="s">
        <v>1085</v>
      </c>
      <c r="M625" s="1" t="s">
        <v>1137</v>
      </c>
      <c r="N625" t="s">
        <v>1241</v>
      </c>
    </row>
    <row r="626" spans="1:14">
      <c r="A626" s="1" t="s">
        <v>2821</v>
      </c>
      <c r="B626" s="1" t="s">
        <v>2822</v>
      </c>
      <c r="C626" s="1" t="s">
        <v>1560</v>
      </c>
      <c r="D626" s="1" t="s">
        <v>1097</v>
      </c>
      <c r="E626" s="1" t="s">
        <v>1121</v>
      </c>
      <c r="F626" s="1" t="s">
        <v>1083</v>
      </c>
      <c r="G626" s="1" t="s">
        <v>1106</v>
      </c>
      <c r="H626">
        <v>57</v>
      </c>
      <c r="I626" t="s">
        <v>2823</v>
      </c>
      <c r="J626">
        <v>93872</v>
      </c>
      <c r="K626">
        <v>0</v>
      </c>
      <c r="L626" s="1" t="s">
        <v>1221</v>
      </c>
      <c r="M626" s="1" t="s">
        <v>1298</v>
      </c>
      <c r="N626">
        <v>44754</v>
      </c>
    </row>
    <row r="627" spans="1:14">
      <c r="A627" s="1" t="s">
        <v>2824</v>
      </c>
      <c r="B627" s="1" t="s">
        <v>2825</v>
      </c>
      <c r="C627" s="1" t="s">
        <v>1160</v>
      </c>
      <c r="D627" s="1" t="s">
        <v>1148</v>
      </c>
      <c r="E627" s="1" t="s">
        <v>1121</v>
      </c>
      <c r="F627" s="1" t="s">
        <v>1105</v>
      </c>
      <c r="G627" s="1" t="s">
        <v>1133</v>
      </c>
      <c r="H627">
        <v>50</v>
      </c>
      <c r="I627" t="s">
        <v>2826</v>
      </c>
      <c r="J627">
        <v>181570</v>
      </c>
      <c r="K627">
        <v>0.35</v>
      </c>
      <c r="L627" s="1" t="s">
        <v>1085</v>
      </c>
      <c r="M627" s="1" t="s">
        <v>1137</v>
      </c>
      <c r="N627" t="s">
        <v>2827</v>
      </c>
    </row>
    <row r="628" spans="1:14">
      <c r="A628" s="1" t="s">
        <v>2828</v>
      </c>
      <c r="B628" s="1" t="s">
        <v>2829</v>
      </c>
      <c r="C628" s="1" t="s">
        <v>1136</v>
      </c>
      <c r="D628" s="1" t="s">
        <v>1090</v>
      </c>
      <c r="E628" s="1" t="s">
        <v>1082</v>
      </c>
      <c r="F628" s="1" t="s">
        <v>1083</v>
      </c>
      <c r="G628" s="1" t="s">
        <v>1084</v>
      </c>
      <c r="H628">
        <v>61</v>
      </c>
      <c r="I628" t="s">
        <v>2830</v>
      </c>
      <c r="J628">
        <v>101517</v>
      </c>
      <c r="K628">
        <v>0.09</v>
      </c>
      <c r="L628" s="1" t="s">
        <v>1085</v>
      </c>
      <c r="M628" s="1" t="s">
        <v>1107</v>
      </c>
      <c r="N628" t="s">
        <v>1241</v>
      </c>
    </row>
    <row r="629" spans="1:14">
      <c r="A629" s="1" t="s">
        <v>2831</v>
      </c>
      <c r="B629" s="1" t="s">
        <v>2832</v>
      </c>
      <c r="C629" s="1" t="s">
        <v>1136</v>
      </c>
      <c r="D629" s="1" t="s">
        <v>1127</v>
      </c>
      <c r="E629" s="1" t="s">
        <v>1082</v>
      </c>
      <c r="F629" s="1" t="s">
        <v>1083</v>
      </c>
      <c r="G629" s="1" t="s">
        <v>1084</v>
      </c>
      <c r="H629">
        <v>43</v>
      </c>
      <c r="I629" t="s">
        <v>2833</v>
      </c>
      <c r="J629">
        <v>100822</v>
      </c>
      <c r="K629">
        <v>0.1</v>
      </c>
      <c r="L629" s="1" t="s">
        <v>1100</v>
      </c>
      <c r="M629" s="1" t="s">
        <v>1123</v>
      </c>
      <c r="N629" t="s">
        <v>1241</v>
      </c>
    </row>
    <row r="630" spans="1:14">
      <c r="A630" s="1" t="s">
        <v>2834</v>
      </c>
      <c r="B630" s="1" t="s">
        <v>2835</v>
      </c>
      <c r="C630" s="1" t="s">
        <v>1136</v>
      </c>
      <c r="D630" s="1" t="s">
        <v>1148</v>
      </c>
      <c r="E630" s="1" t="s">
        <v>1098</v>
      </c>
      <c r="F630" s="1" t="s">
        <v>1105</v>
      </c>
      <c r="G630" s="1" t="s">
        <v>1084</v>
      </c>
      <c r="H630">
        <v>26</v>
      </c>
      <c r="I630">
        <v>44595</v>
      </c>
      <c r="J630">
        <v>128965</v>
      </c>
      <c r="K630">
        <v>0.09</v>
      </c>
      <c r="L630" s="1" t="s">
        <v>1085</v>
      </c>
      <c r="M630" s="1" t="s">
        <v>1086</v>
      </c>
      <c r="N630" t="s">
        <v>1241</v>
      </c>
    </row>
    <row r="631" spans="1:14">
      <c r="A631" s="1" t="s">
        <v>2836</v>
      </c>
      <c r="B631" s="1" t="s">
        <v>2837</v>
      </c>
      <c r="C631" s="1" t="s">
        <v>1096</v>
      </c>
      <c r="D631" s="1" t="s">
        <v>1097</v>
      </c>
      <c r="E631" s="1" t="s">
        <v>1082</v>
      </c>
      <c r="F631" s="1" t="s">
        <v>1105</v>
      </c>
      <c r="G631" s="1" t="s">
        <v>1084</v>
      </c>
      <c r="H631">
        <v>54</v>
      </c>
      <c r="I631" t="s">
        <v>2838</v>
      </c>
      <c r="J631">
        <v>60513</v>
      </c>
      <c r="K631">
        <v>0</v>
      </c>
      <c r="L631" s="1" t="s">
        <v>1085</v>
      </c>
      <c r="M631" s="1" t="s">
        <v>1112</v>
      </c>
      <c r="N631" t="s">
        <v>1241</v>
      </c>
    </row>
    <row r="632" spans="1:14">
      <c r="A632" s="1" t="s">
        <v>2839</v>
      </c>
      <c r="B632" s="1" t="s">
        <v>2840</v>
      </c>
      <c r="C632" s="1" t="s">
        <v>1136</v>
      </c>
      <c r="D632" s="1" t="s">
        <v>1127</v>
      </c>
      <c r="E632" s="1" t="s">
        <v>1098</v>
      </c>
      <c r="F632" s="1" t="s">
        <v>1105</v>
      </c>
      <c r="G632" s="1" t="s">
        <v>1106</v>
      </c>
      <c r="H632">
        <v>49</v>
      </c>
      <c r="I632">
        <v>38597</v>
      </c>
      <c r="J632">
        <v>107461</v>
      </c>
      <c r="K632">
        <v>0.08</v>
      </c>
      <c r="L632" s="1" t="s">
        <v>1085</v>
      </c>
      <c r="M632" s="1" t="s">
        <v>1107</v>
      </c>
      <c r="N632" t="s">
        <v>1241</v>
      </c>
    </row>
    <row r="633" spans="1:14">
      <c r="A633" s="1" t="s">
        <v>2841</v>
      </c>
      <c r="B633" s="1" t="s">
        <v>2842</v>
      </c>
      <c r="C633" s="1" t="s">
        <v>1126</v>
      </c>
      <c r="D633" s="1" t="s">
        <v>1090</v>
      </c>
      <c r="E633" s="1" t="s">
        <v>1098</v>
      </c>
      <c r="F633" s="1" t="s">
        <v>1105</v>
      </c>
      <c r="G633" s="1" t="s">
        <v>1133</v>
      </c>
      <c r="H633">
        <v>32</v>
      </c>
      <c r="I633" t="s">
        <v>2843</v>
      </c>
      <c r="J633">
        <v>66294</v>
      </c>
      <c r="K633">
        <v>0</v>
      </c>
      <c r="L633" s="1" t="s">
        <v>1085</v>
      </c>
      <c r="M633" s="1" t="s">
        <v>1086</v>
      </c>
      <c r="N633" t="s">
        <v>1241</v>
      </c>
    </row>
    <row r="634" spans="1:14">
      <c r="A634" s="1" t="s">
        <v>2844</v>
      </c>
      <c r="B634" s="1" t="s">
        <v>2845</v>
      </c>
      <c r="C634" s="1" t="s">
        <v>1152</v>
      </c>
      <c r="D634" s="1" t="s">
        <v>1090</v>
      </c>
      <c r="E634" s="1" t="s">
        <v>1098</v>
      </c>
      <c r="F634" s="1" t="s">
        <v>1105</v>
      </c>
      <c r="G634" s="1" t="s">
        <v>1106</v>
      </c>
      <c r="H634">
        <v>62</v>
      </c>
      <c r="I634">
        <v>40118</v>
      </c>
      <c r="J634">
        <v>157500</v>
      </c>
      <c r="K634">
        <v>0.15</v>
      </c>
      <c r="L634" s="1" t="s">
        <v>1085</v>
      </c>
      <c r="M634" s="1" t="s">
        <v>1086</v>
      </c>
      <c r="N634" t="s">
        <v>1241</v>
      </c>
    </row>
    <row r="635" spans="1:14">
      <c r="A635" s="1" t="s">
        <v>2846</v>
      </c>
      <c r="B635" s="1" t="s">
        <v>2847</v>
      </c>
      <c r="C635" s="1" t="s">
        <v>1269</v>
      </c>
      <c r="D635" s="1" t="s">
        <v>1097</v>
      </c>
      <c r="E635" s="1" t="s">
        <v>1121</v>
      </c>
      <c r="F635" s="1" t="s">
        <v>1105</v>
      </c>
      <c r="G635" s="1" t="s">
        <v>1084</v>
      </c>
      <c r="H635">
        <v>64</v>
      </c>
      <c r="I635" t="s">
        <v>2011</v>
      </c>
      <c r="J635">
        <v>43271</v>
      </c>
      <c r="K635">
        <v>0</v>
      </c>
      <c r="L635" s="1" t="s">
        <v>1100</v>
      </c>
      <c r="M635" s="1" t="s">
        <v>1129</v>
      </c>
      <c r="N635" t="s">
        <v>1241</v>
      </c>
    </row>
    <row r="636" spans="1:14">
      <c r="A636" s="1" t="s">
        <v>2848</v>
      </c>
      <c r="B636" s="1" t="s">
        <v>2849</v>
      </c>
      <c r="C636" s="1" t="s">
        <v>1173</v>
      </c>
      <c r="D636" s="1" t="s">
        <v>1097</v>
      </c>
      <c r="E636" s="1" t="s">
        <v>1098</v>
      </c>
      <c r="F636" s="1" t="s">
        <v>1105</v>
      </c>
      <c r="G636" s="1" t="s">
        <v>1106</v>
      </c>
      <c r="H636">
        <v>52</v>
      </c>
      <c r="I636" t="s">
        <v>2850</v>
      </c>
      <c r="J636">
        <v>91518</v>
      </c>
      <c r="K636">
        <v>0</v>
      </c>
      <c r="L636" s="1" t="s">
        <v>1221</v>
      </c>
      <c r="M636" s="1" t="s">
        <v>1298</v>
      </c>
      <c r="N636" t="s">
        <v>1241</v>
      </c>
    </row>
    <row r="637" spans="1:14">
      <c r="A637" s="1" t="s">
        <v>2851</v>
      </c>
      <c r="B637" s="1" t="s">
        <v>2852</v>
      </c>
      <c r="C637" s="1" t="s">
        <v>1152</v>
      </c>
      <c r="D637" s="1" t="s">
        <v>1208</v>
      </c>
      <c r="E637" s="1" t="s">
        <v>1121</v>
      </c>
      <c r="F637" s="1" t="s">
        <v>1105</v>
      </c>
      <c r="G637" s="1" t="s">
        <v>1106</v>
      </c>
      <c r="H637">
        <v>42</v>
      </c>
      <c r="I637" t="s">
        <v>2853</v>
      </c>
      <c r="J637">
        <v>130874</v>
      </c>
      <c r="K637">
        <v>0.12</v>
      </c>
      <c r="L637" s="1" t="s">
        <v>1085</v>
      </c>
      <c r="M637" s="1" t="s">
        <v>1112</v>
      </c>
      <c r="N637" t="s">
        <v>1241</v>
      </c>
    </row>
    <row r="638" spans="1:14">
      <c r="A638" s="1" t="s">
        <v>2854</v>
      </c>
      <c r="B638" s="1" t="s">
        <v>2855</v>
      </c>
      <c r="C638" s="1" t="s">
        <v>1384</v>
      </c>
      <c r="D638" s="1" t="s">
        <v>1208</v>
      </c>
      <c r="E638" s="1" t="s">
        <v>1091</v>
      </c>
      <c r="F638" s="1" t="s">
        <v>1083</v>
      </c>
      <c r="G638" s="1" t="s">
        <v>1084</v>
      </c>
      <c r="H638">
        <v>45</v>
      </c>
      <c r="I638" t="s">
        <v>2317</v>
      </c>
      <c r="J638">
        <v>66324</v>
      </c>
      <c r="K638">
        <v>0</v>
      </c>
      <c r="L638" s="1" t="s">
        <v>1100</v>
      </c>
      <c r="M638" s="1" t="s">
        <v>1188</v>
      </c>
      <c r="N638">
        <v>44478</v>
      </c>
    </row>
    <row r="639" spans="1:14">
      <c r="A639" s="1" t="s">
        <v>2856</v>
      </c>
      <c r="B639" s="1" t="s">
        <v>2857</v>
      </c>
      <c r="C639" s="1" t="s">
        <v>1126</v>
      </c>
      <c r="D639" s="1" t="s">
        <v>1090</v>
      </c>
      <c r="E639" s="1" t="s">
        <v>1091</v>
      </c>
      <c r="F639" s="1" t="s">
        <v>1083</v>
      </c>
      <c r="G639" s="1" t="s">
        <v>1084</v>
      </c>
      <c r="H639">
        <v>65</v>
      </c>
      <c r="I639" t="s">
        <v>2858</v>
      </c>
      <c r="J639">
        <v>63853</v>
      </c>
      <c r="K639">
        <v>0</v>
      </c>
      <c r="L639" s="1" t="s">
        <v>1085</v>
      </c>
      <c r="M639" s="1" t="s">
        <v>1112</v>
      </c>
      <c r="N639" t="s">
        <v>1241</v>
      </c>
    </row>
    <row r="640" spans="1:14">
      <c r="A640" s="1" t="s">
        <v>2859</v>
      </c>
      <c r="B640" s="1" t="s">
        <v>2860</v>
      </c>
      <c r="C640" s="1" t="s">
        <v>1136</v>
      </c>
      <c r="D640" s="1" t="s">
        <v>1208</v>
      </c>
      <c r="E640" s="1" t="s">
        <v>1091</v>
      </c>
      <c r="F640" s="1" t="s">
        <v>1105</v>
      </c>
      <c r="G640" s="1" t="s">
        <v>1084</v>
      </c>
      <c r="H640">
        <v>46</v>
      </c>
      <c r="I640">
        <v>44470</v>
      </c>
      <c r="J640">
        <v>104692</v>
      </c>
      <c r="K640">
        <v>0.08</v>
      </c>
      <c r="L640" s="1" t="s">
        <v>1100</v>
      </c>
      <c r="M640" s="1" t="s">
        <v>1129</v>
      </c>
      <c r="N640" t="s">
        <v>1241</v>
      </c>
    </row>
    <row r="641" spans="1:14">
      <c r="A641" s="1" t="s">
        <v>2861</v>
      </c>
      <c r="B641" s="1" t="s">
        <v>2862</v>
      </c>
      <c r="C641" s="1" t="s">
        <v>1358</v>
      </c>
      <c r="D641" s="1" t="s">
        <v>1097</v>
      </c>
      <c r="E641" s="1" t="s">
        <v>1091</v>
      </c>
      <c r="F641" s="1" t="s">
        <v>1105</v>
      </c>
      <c r="G641" s="1" t="s">
        <v>1106</v>
      </c>
      <c r="H641">
        <v>64</v>
      </c>
      <c r="I641">
        <v>44631</v>
      </c>
      <c r="J641">
        <v>71864</v>
      </c>
      <c r="K641">
        <v>0</v>
      </c>
      <c r="L641" s="1" t="s">
        <v>1221</v>
      </c>
      <c r="M641" s="1" t="s">
        <v>1443</v>
      </c>
      <c r="N641" t="s">
        <v>1241</v>
      </c>
    </row>
    <row r="642" spans="1:14">
      <c r="A642" s="1" t="s">
        <v>2863</v>
      </c>
      <c r="B642" s="1" t="s">
        <v>2864</v>
      </c>
      <c r="C642" s="1" t="s">
        <v>1160</v>
      </c>
      <c r="D642" s="1" t="s">
        <v>1148</v>
      </c>
      <c r="E642" s="1" t="s">
        <v>1082</v>
      </c>
      <c r="F642" s="1" t="s">
        <v>1105</v>
      </c>
      <c r="G642" s="1" t="s">
        <v>1084</v>
      </c>
      <c r="H642">
        <v>45</v>
      </c>
      <c r="I642" t="s">
        <v>2652</v>
      </c>
      <c r="J642">
        <v>216269</v>
      </c>
      <c r="K642">
        <v>0.37</v>
      </c>
      <c r="L642" s="1" t="s">
        <v>1085</v>
      </c>
      <c r="M642" s="1" t="s">
        <v>1093</v>
      </c>
      <c r="N642" t="s">
        <v>2865</v>
      </c>
    </row>
    <row r="643" spans="1:14">
      <c r="A643" s="1" t="s">
        <v>2866</v>
      </c>
      <c r="B643" s="1" t="s">
        <v>2867</v>
      </c>
      <c r="C643" s="1" t="s">
        <v>1285</v>
      </c>
      <c r="D643" s="1" t="s">
        <v>1097</v>
      </c>
      <c r="E643" s="1" t="s">
        <v>1121</v>
      </c>
      <c r="F643" s="1" t="s">
        <v>1105</v>
      </c>
      <c r="G643" s="1" t="s">
        <v>1084</v>
      </c>
      <c r="H643">
        <v>32</v>
      </c>
      <c r="I643" t="s">
        <v>2868</v>
      </c>
      <c r="J643">
        <v>73135</v>
      </c>
      <c r="K643">
        <v>0</v>
      </c>
      <c r="L643" s="1" t="s">
        <v>1085</v>
      </c>
      <c r="M643" s="1" t="s">
        <v>1116</v>
      </c>
      <c r="N643" t="s">
        <v>1241</v>
      </c>
    </row>
    <row r="644" spans="1:14">
      <c r="A644" s="1" t="s">
        <v>2869</v>
      </c>
      <c r="B644" s="1" t="s">
        <v>2870</v>
      </c>
      <c r="C644" s="1" t="s">
        <v>1110</v>
      </c>
      <c r="D644" s="1" t="s">
        <v>1081</v>
      </c>
      <c r="E644" s="1" t="s">
        <v>1091</v>
      </c>
      <c r="F644" s="1" t="s">
        <v>1105</v>
      </c>
      <c r="G644" s="1" t="s">
        <v>1084</v>
      </c>
      <c r="H644">
        <v>56</v>
      </c>
      <c r="I644" t="s">
        <v>1811</v>
      </c>
      <c r="J644">
        <v>197579</v>
      </c>
      <c r="K644">
        <v>0.18</v>
      </c>
      <c r="L644" s="1" t="s">
        <v>1085</v>
      </c>
      <c r="M644" s="1" t="s">
        <v>1093</v>
      </c>
      <c r="N644" t="s">
        <v>1241</v>
      </c>
    </row>
    <row r="645" spans="1:14">
      <c r="A645" s="1" t="s">
        <v>2871</v>
      </c>
      <c r="B645" s="1" t="s">
        <v>2872</v>
      </c>
      <c r="C645" s="1" t="s">
        <v>1140</v>
      </c>
      <c r="D645" s="1" t="s">
        <v>1097</v>
      </c>
      <c r="E645" s="1" t="s">
        <v>1091</v>
      </c>
      <c r="F645" s="1" t="s">
        <v>1083</v>
      </c>
      <c r="G645" s="1" t="s">
        <v>1084</v>
      </c>
      <c r="H645">
        <v>46</v>
      </c>
      <c r="I645" t="s">
        <v>2873</v>
      </c>
      <c r="J645">
        <v>59733</v>
      </c>
      <c r="K645">
        <v>0</v>
      </c>
      <c r="L645" s="1" t="s">
        <v>1085</v>
      </c>
      <c r="M645" s="1" t="s">
        <v>1112</v>
      </c>
      <c r="N645" t="s">
        <v>1241</v>
      </c>
    </row>
    <row r="646" spans="1:14">
      <c r="A646" s="1" t="s">
        <v>2874</v>
      </c>
      <c r="B646" s="1" t="s">
        <v>2849</v>
      </c>
      <c r="C646" s="1" t="s">
        <v>1160</v>
      </c>
      <c r="D646" s="1" t="s">
        <v>1208</v>
      </c>
      <c r="E646" s="1" t="s">
        <v>1091</v>
      </c>
      <c r="F646" s="1" t="s">
        <v>1105</v>
      </c>
      <c r="G646" s="1" t="s">
        <v>1106</v>
      </c>
      <c r="H646">
        <v>26</v>
      </c>
      <c r="I646" t="s">
        <v>2875</v>
      </c>
      <c r="J646">
        <v>187792</v>
      </c>
      <c r="K646">
        <v>0.4</v>
      </c>
      <c r="L646" s="1" t="s">
        <v>1085</v>
      </c>
      <c r="M646" s="1" t="s">
        <v>1093</v>
      </c>
      <c r="N646" t="s">
        <v>1241</v>
      </c>
    </row>
    <row r="647" spans="1:14">
      <c r="A647" s="1" t="s">
        <v>2876</v>
      </c>
      <c r="B647" s="1" t="s">
        <v>2877</v>
      </c>
      <c r="C647" s="1" t="s">
        <v>1136</v>
      </c>
      <c r="D647" s="1" t="s">
        <v>1208</v>
      </c>
      <c r="E647" s="1" t="s">
        <v>1121</v>
      </c>
      <c r="F647" s="1" t="s">
        <v>1105</v>
      </c>
      <c r="G647" s="1" t="s">
        <v>1133</v>
      </c>
      <c r="H647">
        <v>59</v>
      </c>
      <c r="I647">
        <v>42917</v>
      </c>
      <c r="J647">
        <v>108612</v>
      </c>
      <c r="K647">
        <v>0.06</v>
      </c>
      <c r="L647" s="1" t="s">
        <v>1085</v>
      </c>
      <c r="M647" s="1" t="s">
        <v>1116</v>
      </c>
      <c r="N647" t="s">
        <v>1241</v>
      </c>
    </row>
    <row r="648" spans="1:14">
      <c r="A648" s="1" t="s">
        <v>2878</v>
      </c>
      <c r="B648" s="1" t="s">
        <v>2879</v>
      </c>
      <c r="C648" s="1" t="s">
        <v>1132</v>
      </c>
      <c r="D648" s="1" t="s">
        <v>1097</v>
      </c>
      <c r="E648" s="1" t="s">
        <v>1091</v>
      </c>
      <c r="F648" s="1" t="s">
        <v>1083</v>
      </c>
      <c r="G648" s="1" t="s">
        <v>1153</v>
      </c>
      <c r="H648">
        <v>50</v>
      </c>
      <c r="I648" t="s">
        <v>2880</v>
      </c>
      <c r="J648">
        <v>80350</v>
      </c>
      <c r="K648">
        <v>0</v>
      </c>
      <c r="L648" s="1" t="s">
        <v>1085</v>
      </c>
      <c r="M648" s="1" t="s">
        <v>1137</v>
      </c>
      <c r="N648" t="s">
        <v>1241</v>
      </c>
    </row>
    <row r="649" spans="1:14">
      <c r="A649" s="1" t="s">
        <v>2881</v>
      </c>
      <c r="B649" s="1" t="s">
        <v>2882</v>
      </c>
      <c r="C649" s="1" t="s">
        <v>1216</v>
      </c>
      <c r="D649" s="1" t="s">
        <v>1081</v>
      </c>
      <c r="E649" s="1" t="s">
        <v>1098</v>
      </c>
      <c r="F649" s="1" t="s">
        <v>1105</v>
      </c>
      <c r="G649" s="1" t="s">
        <v>1133</v>
      </c>
      <c r="H649">
        <v>32</v>
      </c>
      <c r="I649" t="s">
        <v>2883</v>
      </c>
      <c r="J649">
        <v>61243</v>
      </c>
      <c r="K649">
        <v>0</v>
      </c>
      <c r="L649" s="1" t="s">
        <v>1085</v>
      </c>
      <c r="M649" s="1" t="s">
        <v>1137</v>
      </c>
      <c r="N649" t="s">
        <v>1241</v>
      </c>
    </row>
    <row r="650" spans="1:14">
      <c r="A650" s="1" t="s">
        <v>2884</v>
      </c>
      <c r="B650" s="1" t="s">
        <v>2885</v>
      </c>
      <c r="C650" s="1" t="s">
        <v>1089</v>
      </c>
      <c r="D650" s="1" t="s">
        <v>1127</v>
      </c>
      <c r="E650" s="1" t="s">
        <v>1082</v>
      </c>
      <c r="F650" s="1" t="s">
        <v>1083</v>
      </c>
      <c r="G650" s="1" t="s">
        <v>1106</v>
      </c>
      <c r="H650">
        <v>56</v>
      </c>
      <c r="I650">
        <v>37594</v>
      </c>
      <c r="J650">
        <v>48896</v>
      </c>
      <c r="K650">
        <v>0</v>
      </c>
      <c r="L650" s="1" t="s">
        <v>1221</v>
      </c>
      <c r="M650" s="1" t="s">
        <v>1443</v>
      </c>
      <c r="N650" t="s">
        <v>2886</v>
      </c>
    </row>
    <row r="651" spans="1:14">
      <c r="A651" s="1" t="s">
        <v>2887</v>
      </c>
      <c r="B651" s="1" t="s">
        <v>2888</v>
      </c>
      <c r="C651" s="1" t="s">
        <v>1601</v>
      </c>
      <c r="D651" s="1" t="s">
        <v>1081</v>
      </c>
      <c r="E651" s="1" t="s">
        <v>1098</v>
      </c>
      <c r="F651" s="1" t="s">
        <v>1083</v>
      </c>
      <c r="G651" s="1" t="s">
        <v>1084</v>
      </c>
      <c r="H651">
        <v>32</v>
      </c>
      <c r="I651" t="s">
        <v>2889</v>
      </c>
      <c r="J651">
        <v>82887</v>
      </c>
      <c r="K651">
        <v>0</v>
      </c>
      <c r="L651" s="1" t="s">
        <v>1100</v>
      </c>
      <c r="M651" s="1" t="s">
        <v>1129</v>
      </c>
      <c r="N651" t="s">
        <v>2890</v>
      </c>
    </row>
    <row r="652" spans="1:14">
      <c r="A652" s="1" t="s">
        <v>2891</v>
      </c>
      <c r="B652" s="1" t="s">
        <v>2892</v>
      </c>
      <c r="C652" s="1" t="s">
        <v>1089</v>
      </c>
      <c r="D652" s="1" t="s">
        <v>1148</v>
      </c>
      <c r="E652" s="1" t="s">
        <v>1082</v>
      </c>
      <c r="F652" s="1" t="s">
        <v>1083</v>
      </c>
      <c r="G652" s="1" t="s">
        <v>1084</v>
      </c>
      <c r="H652">
        <v>45</v>
      </c>
      <c r="I652" t="s">
        <v>2893</v>
      </c>
      <c r="J652">
        <v>54742</v>
      </c>
      <c r="K652">
        <v>0</v>
      </c>
      <c r="L652" s="1" t="s">
        <v>1100</v>
      </c>
      <c r="M652" s="1" t="s">
        <v>1129</v>
      </c>
      <c r="N652" t="s">
        <v>1241</v>
      </c>
    </row>
    <row r="653" spans="1:14">
      <c r="A653" s="1" t="s">
        <v>2894</v>
      </c>
      <c r="B653" s="1" t="s">
        <v>2895</v>
      </c>
      <c r="C653" s="1" t="s">
        <v>1152</v>
      </c>
      <c r="D653" s="1" t="s">
        <v>1148</v>
      </c>
      <c r="E653" s="1" t="s">
        <v>1091</v>
      </c>
      <c r="F653" s="1" t="s">
        <v>1083</v>
      </c>
      <c r="G653" s="1" t="s">
        <v>1084</v>
      </c>
      <c r="H653">
        <v>43</v>
      </c>
      <c r="I653" t="s">
        <v>2896</v>
      </c>
      <c r="J653">
        <v>134544</v>
      </c>
      <c r="K653">
        <v>0.13</v>
      </c>
      <c r="L653" s="1" t="s">
        <v>1085</v>
      </c>
      <c r="M653" s="1" t="s">
        <v>1112</v>
      </c>
      <c r="N653" t="s">
        <v>1241</v>
      </c>
    </row>
    <row r="654" spans="1:14">
      <c r="A654" s="1" t="s">
        <v>2897</v>
      </c>
      <c r="B654" s="1" t="s">
        <v>2898</v>
      </c>
      <c r="C654" s="1" t="s">
        <v>1136</v>
      </c>
      <c r="D654" s="1" t="s">
        <v>1097</v>
      </c>
      <c r="E654" s="1" t="s">
        <v>1121</v>
      </c>
      <c r="F654" s="1" t="s">
        <v>1105</v>
      </c>
      <c r="G654" s="1" t="s">
        <v>1084</v>
      </c>
      <c r="H654">
        <v>45</v>
      </c>
      <c r="I654">
        <v>37899</v>
      </c>
      <c r="J654">
        <v>128115</v>
      </c>
      <c r="K654">
        <v>0.06</v>
      </c>
      <c r="L654" s="1" t="s">
        <v>1085</v>
      </c>
      <c r="M654" s="1" t="s">
        <v>1112</v>
      </c>
      <c r="N654" t="s">
        <v>1241</v>
      </c>
    </row>
    <row r="655" spans="1:14">
      <c r="A655" s="1" t="s">
        <v>2899</v>
      </c>
      <c r="B655" s="1" t="s">
        <v>2900</v>
      </c>
      <c r="C655" s="1" t="s">
        <v>1089</v>
      </c>
      <c r="D655" s="1" t="s">
        <v>1120</v>
      </c>
      <c r="E655" s="1" t="s">
        <v>1121</v>
      </c>
      <c r="F655" s="1" t="s">
        <v>1083</v>
      </c>
      <c r="G655" s="1" t="s">
        <v>1084</v>
      </c>
      <c r="H655">
        <v>38</v>
      </c>
      <c r="I655" t="s">
        <v>2901</v>
      </c>
      <c r="J655">
        <v>54713</v>
      </c>
      <c r="K655">
        <v>0</v>
      </c>
      <c r="L655" s="1" t="s">
        <v>1085</v>
      </c>
      <c r="M655" s="1" t="s">
        <v>1086</v>
      </c>
      <c r="N655" t="s">
        <v>1241</v>
      </c>
    </row>
    <row r="656" spans="1:14">
      <c r="A656" s="1" t="s">
        <v>2902</v>
      </c>
      <c r="B656" s="1" t="s">
        <v>2903</v>
      </c>
      <c r="C656" s="1" t="s">
        <v>1126</v>
      </c>
      <c r="D656" s="1" t="s">
        <v>1090</v>
      </c>
      <c r="E656" s="1" t="s">
        <v>1098</v>
      </c>
      <c r="F656" s="1" t="s">
        <v>1105</v>
      </c>
      <c r="G656" s="1" t="s">
        <v>1133</v>
      </c>
      <c r="H656">
        <v>46</v>
      </c>
      <c r="I656">
        <v>41890</v>
      </c>
      <c r="J656">
        <v>63987</v>
      </c>
      <c r="K656">
        <v>0</v>
      </c>
      <c r="L656" s="1" t="s">
        <v>1085</v>
      </c>
      <c r="M656" s="1" t="s">
        <v>1107</v>
      </c>
      <c r="N656" t="s">
        <v>1241</v>
      </c>
    </row>
    <row r="657" spans="1:14">
      <c r="A657" s="1" t="s">
        <v>2904</v>
      </c>
      <c r="B657" s="1" t="s">
        <v>2905</v>
      </c>
      <c r="C657" s="1" t="s">
        <v>1104</v>
      </c>
      <c r="D657" s="1" t="s">
        <v>1097</v>
      </c>
      <c r="E657" s="1" t="s">
        <v>1098</v>
      </c>
      <c r="F657" s="1" t="s">
        <v>1083</v>
      </c>
      <c r="G657" s="1" t="s">
        <v>1084</v>
      </c>
      <c r="H657">
        <v>26</v>
      </c>
      <c r="I657" t="s">
        <v>2906</v>
      </c>
      <c r="J657">
        <v>86288</v>
      </c>
      <c r="K657">
        <v>0</v>
      </c>
      <c r="L657" s="1" t="s">
        <v>1085</v>
      </c>
      <c r="M657" s="1" t="s">
        <v>1086</v>
      </c>
      <c r="N657" t="s">
        <v>1241</v>
      </c>
    </row>
    <row r="658" spans="1:14">
      <c r="A658" s="1" t="s">
        <v>2907</v>
      </c>
      <c r="B658" s="1" t="s">
        <v>2908</v>
      </c>
      <c r="C658" s="1" t="s">
        <v>1601</v>
      </c>
      <c r="D658" s="1" t="s">
        <v>1081</v>
      </c>
      <c r="E658" s="1" t="s">
        <v>1091</v>
      </c>
      <c r="F658" s="1" t="s">
        <v>1105</v>
      </c>
      <c r="G658" s="1" t="s">
        <v>1106</v>
      </c>
      <c r="H658">
        <v>27</v>
      </c>
      <c r="I658" t="s">
        <v>2909</v>
      </c>
      <c r="J658">
        <v>61693</v>
      </c>
      <c r="K658">
        <v>0</v>
      </c>
      <c r="L658" s="1" t="s">
        <v>1221</v>
      </c>
      <c r="M658" s="1" t="s">
        <v>1298</v>
      </c>
      <c r="N658" t="s">
        <v>1436</v>
      </c>
    </row>
    <row r="659" spans="1:14">
      <c r="A659" s="1" t="s">
        <v>2910</v>
      </c>
      <c r="B659" s="1" t="s">
        <v>2911</v>
      </c>
      <c r="C659" s="1" t="s">
        <v>1132</v>
      </c>
      <c r="D659" s="1" t="s">
        <v>1097</v>
      </c>
      <c r="E659" s="1" t="s">
        <v>1082</v>
      </c>
      <c r="F659" s="1" t="s">
        <v>1105</v>
      </c>
      <c r="G659" s="1" t="s">
        <v>1084</v>
      </c>
      <c r="H659">
        <v>48</v>
      </c>
      <c r="I659">
        <v>44207</v>
      </c>
      <c r="J659">
        <v>75624</v>
      </c>
      <c r="K659">
        <v>0</v>
      </c>
      <c r="L659" s="1" t="s">
        <v>1100</v>
      </c>
      <c r="M659" s="1" t="s">
        <v>1129</v>
      </c>
      <c r="N659" t="s">
        <v>1241</v>
      </c>
    </row>
    <row r="660" spans="1:14">
      <c r="A660" s="1" t="s">
        <v>2912</v>
      </c>
      <c r="B660" s="1" t="s">
        <v>2913</v>
      </c>
      <c r="C660" s="1" t="s">
        <v>1136</v>
      </c>
      <c r="D660" s="1" t="s">
        <v>1208</v>
      </c>
      <c r="E660" s="1" t="s">
        <v>1091</v>
      </c>
      <c r="F660" s="1" t="s">
        <v>1105</v>
      </c>
      <c r="G660" s="1" t="s">
        <v>1133</v>
      </c>
      <c r="H660">
        <v>57</v>
      </c>
      <c r="I660" t="s">
        <v>2914</v>
      </c>
      <c r="J660">
        <v>122979</v>
      </c>
      <c r="K660">
        <v>0.06</v>
      </c>
      <c r="L660" s="1" t="s">
        <v>1085</v>
      </c>
      <c r="M660" s="1" t="s">
        <v>1116</v>
      </c>
      <c r="N660" t="s">
        <v>1241</v>
      </c>
    </row>
    <row r="661" spans="1:14">
      <c r="A661" s="1" t="s">
        <v>2915</v>
      </c>
      <c r="B661" s="1" t="s">
        <v>2916</v>
      </c>
      <c r="C661" s="1" t="s">
        <v>1412</v>
      </c>
      <c r="D661" s="1" t="s">
        <v>1081</v>
      </c>
      <c r="E661" s="1" t="s">
        <v>1121</v>
      </c>
      <c r="F661" s="1" t="s">
        <v>1083</v>
      </c>
      <c r="G661" s="1" t="s">
        <v>1133</v>
      </c>
      <c r="H661">
        <v>58</v>
      </c>
      <c r="I661">
        <v>37773</v>
      </c>
      <c r="J661">
        <v>91729</v>
      </c>
      <c r="K661">
        <v>0.13</v>
      </c>
      <c r="L661" s="1" t="s">
        <v>1085</v>
      </c>
      <c r="M661" s="1" t="s">
        <v>1093</v>
      </c>
      <c r="N661" t="s">
        <v>1241</v>
      </c>
    </row>
    <row r="662" spans="1:14">
      <c r="A662" s="1" t="s">
        <v>2917</v>
      </c>
      <c r="B662" s="1" t="s">
        <v>2918</v>
      </c>
      <c r="C662" s="1" t="s">
        <v>1136</v>
      </c>
      <c r="D662" s="1" t="s">
        <v>1127</v>
      </c>
      <c r="E662" s="1" t="s">
        <v>1091</v>
      </c>
      <c r="F662" s="1" t="s">
        <v>1083</v>
      </c>
      <c r="G662" s="1" t="s">
        <v>1133</v>
      </c>
      <c r="H662">
        <v>48</v>
      </c>
      <c r="I662" t="s">
        <v>2919</v>
      </c>
      <c r="J662">
        <v>117736</v>
      </c>
      <c r="K662">
        <v>0.05</v>
      </c>
      <c r="L662" s="1" t="s">
        <v>1085</v>
      </c>
      <c r="M662" s="1" t="s">
        <v>1086</v>
      </c>
      <c r="N662" t="s">
        <v>1241</v>
      </c>
    </row>
    <row r="663" spans="1:14">
      <c r="A663" s="1" t="s">
        <v>2920</v>
      </c>
      <c r="B663" s="1" t="s">
        <v>2921</v>
      </c>
      <c r="C663" s="1" t="s">
        <v>1152</v>
      </c>
      <c r="D663" s="1" t="s">
        <v>1208</v>
      </c>
      <c r="E663" s="1" t="s">
        <v>1098</v>
      </c>
      <c r="F663" s="1" t="s">
        <v>1083</v>
      </c>
      <c r="G663" s="1" t="s">
        <v>1084</v>
      </c>
      <c r="H663">
        <v>54</v>
      </c>
      <c r="I663" t="s">
        <v>2922</v>
      </c>
      <c r="J663">
        <v>154658</v>
      </c>
      <c r="K663">
        <v>0.12</v>
      </c>
      <c r="L663" s="1" t="s">
        <v>1100</v>
      </c>
      <c r="M663" s="1" t="s">
        <v>1123</v>
      </c>
      <c r="N663" t="s">
        <v>1241</v>
      </c>
    </row>
    <row r="664" spans="1:14">
      <c r="A664" s="1" t="s">
        <v>2923</v>
      </c>
      <c r="B664" s="1" t="s">
        <v>2924</v>
      </c>
      <c r="C664" s="1" t="s">
        <v>1285</v>
      </c>
      <c r="D664" s="1" t="s">
        <v>1097</v>
      </c>
      <c r="E664" s="1" t="s">
        <v>1098</v>
      </c>
      <c r="F664" s="1" t="s">
        <v>1083</v>
      </c>
      <c r="G664" s="1" t="s">
        <v>1084</v>
      </c>
      <c r="H664">
        <v>29</v>
      </c>
      <c r="I664">
        <v>43898</v>
      </c>
      <c r="J664">
        <v>84397</v>
      </c>
      <c r="K664">
        <v>0</v>
      </c>
      <c r="L664" s="1" t="s">
        <v>1085</v>
      </c>
      <c r="M664" s="1" t="s">
        <v>1107</v>
      </c>
      <c r="N664" t="s">
        <v>1241</v>
      </c>
    </row>
    <row r="665" spans="1:14">
      <c r="A665" s="1" t="s">
        <v>2925</v>
      </c>
      <c r="B665" s="1" t="s">
        <v>2926</v>
      </c>
      <c r="C665" s="1" t="s">
        <v>1110</v>
      </c>
      <c r="D665" s="1" t="s">
        <v>1120</v>
      </c>
      <c r="E665" s="1" t="s">
        <v>1121</v>
      </c>
      <c r="F665" s="1" t="s">
        <v>1105</v>
      </c>
      <c r="G665" s="1" t="s">
        <v>1084</v>
      </c>
      <c r="H665">
        <v>50</v>
      </c>
      <c r="I665" t="s">
        <v>2927</v>
      </c>
      <c r="J665">
        <v>159285</v>
      </c>
      <c r="K665">
        <v>0.15</v>
      </c>
      <c r="L665" s="1" t="s">
        <v>1085</v>
      </c>
      <c r="M665" s="1" t="s">
        <v>1112</v>
      </c>
      <c r="N665" t="s">
        <v>1241</v>
      </c>
    </row>
    <row r="666" spans="1:14">
      <c r="A666" s="1" t="s">
        <v>2928</v>
      </c>
      <c r="B666" s="1" t="s">
        <v>2929</v>
      </c>
      <c r="C666" s="1" t="s">
        <v>1126</v>
      </c>
      <c r="D666" s="1" t="s">
        <v>1120</v>
      </c>
      <c r="E666" s="1" t="s">
        <v>1098</v>
      </c>
      <c r="F666" s="1" t="s">
        <v>1105</v>
      </c>
      <c r="G666" s="1" t="s">
        <v>1133</v>
      </c>
      <c r="H666">
        <v>49</v>
      </c>
      <c r="I666">
        <v>38144</v>
      </c>
      <c r="J666">
        <v>59854</v>
      </c>
      <c r="K666">
        <v>0</v>
      </c>
      <c r="L666" s="1" t="s">
        <v>1085</v>
      </c>
      <c r="M666" s="1" t="s">
        <v>1137</v>
      </c>
      <c r="N666" t="s">
        <v>1241</v>
      </c>
    </row>
    <row r="667" spans="1:14">
      <c r="A667" s="1" t="s">
        <v>2930</v>
      </c>
      <c r="B667" s="1" t="s">
        <v>2931</v>
      </c>
      <c r="C667" s="1" t="s">
        <v>1358</v>
      </c>
      <c r="D667" s="1" t="s">
        <v>1097</v>
      </c>
      <c r="E667" s="1" t="s">
        <v>1098</v>
      </c>
      <c r="F667" s="1" t="s">
        <v>1083</v>
      </c>
      <c r="G667" s="1" t="s">
        <v>1133</v>
      </c>
      <c r="H667">
        <v>64</v>
      </c>
      <c r="I667" t="s">
        <v>2778</v>
      </c>
      <c r="J667">
        <v>87521</v>
      </c>
      <c r="K667">
        <v>0</v>
      </c>
      <c r="L667" s="1" t="s">
        <v>1085</v>
      </c>
      <c r="M667" s="1" t="s">
        <v>1107</v>
      </c>
      <c r="N667">
        <v>44475</v>
      </c>
    </row>
    <row r="668" spans="1:14">
      <c r="A668" s="1" t="s">
        <v>2932</v>
      </c>
      <c r="B668" s="1" t="s">
        <v>2933</v>
      </c>
      <c r="C668" s="1" t="s">
        <v>1110</v>
      </c>
      <c r="D668" s="1" t="s">
        <v>1148</v>
      </c>
      <c r="E668" s="1" t="s">
        <v>1098</v>
      </c>
      <c r="F668" s="1" t="s">
        <v>1083</v>
      </c>
      <c r="G668" s="1" t="s">
        <v>1106</v>
      </c>
      <c r="H668">
        <v>36</v>
      </c>
      <c r="I668" t="s">
        <v>2934</v>
      </c>
      <c r="J668">
        <v>179166</v>
      </c>
      <c r="K668">
        <v>0.17</v>
      </c>
      <c r="L668" s="1" t="s">
        <v>1221</v>
      </c>
      <c r="M668" s="1" t="s">
        <v>1443</v>
      </c>
      <c r="N668" t="s">
        <v>1241</v>
      </c>
    </row>
    <row r="669" spans="1:14">
      <c r="A669" s="1" t="s">
        <v>2935</v>
      </c>
      <c r="B669" s="1" t="s">
        <v>2936</v>
      </c>
      <c r="C669" s="1" t="s">
        <v>1080</v>
      </c>
      <c r="D669" s="1" t="s">
        <v>1081</v>
      </c>
      <c r="E669" s="1" t="s">
        <v>1091</v>
      </c>
      <c r="F669" s="1" t="s">
        <v>1105</v>
      </c>
      <c r="G669" s="1" t="s">
        <v>1084</v>
      </c>
      <c r="H669">
        <v>55</v>
      </c>
      <c r="I669" t="s">
        <v>2937</v>
      </c>
      <c r="J669">
        <v>120092</v>
      </c>
      <c r="K669">
        <v>0</v>
      </c>
      <c r="L669" s="1" t="s">
        <v>1100</v>
      </c>
      <c r="M669" s="1" t="s">
        <v>1123</v>
      </c>
      <c r="N669" t="s">
        <v>1241</v>
      </c>
    </row>
    <row r="670" spans="1:14">
      <c r="A670" s="1" t="s">
        <v>2938</v>
      </c>
      <c r="B670" s="1" t="s">
        <v>2939</v>
      </c>
      <c r="C670" s="1" t="s">
        <v>1110</v>
      </c>
      <c r="D670" s="1" t="s">
        <v>1081</v>
      </c>
      <c r="E670" s="1" t="s">
        <v>1091</v>
      </c>
      <c r="F670" s="1" t="s">
        <v>1083</v>
      </c>
      <c r="G670" s="1" t="s">
        <v>1084</v>
      </c>
      <c r="H670">
        <v>53</v>
      </c>
      <c r="I670" t="s">
        <v>1613</v>
      </c>
      <c r="J670">
        <v>168142</v>
      </c>
      <c r="K670">
        <v>0.27</v>
      </c>
      <c r="L670" s="1" t="s">
        <v>1100</v>
      </c>
      <c r="M670" s="1" t="s">
        <v>1188</v>
      </c>
      <c r="N670" t="s">
        <v>1241</v>
      </c>
    </row>
    <row r="671" spans="1:14">
      <c r="A671" s="1" t="s">
        <v>2940</v>
      </c>
      <c r="B671" s="1" t="s">
        <v>2941</v>
      </c>
      <c r="C671" s="1" t="s">
        <v>1110</v>
      </c>
      <c r="D671" s="1" t="s">
        <v>1127</v>
      </c>
      <c r="E671" s="1" t="s">
        <v>1091</v>
      </c>
      <c r="F671" s="1" t="s">
        <v>1105</v>
      </c>
      <c r="G671" s="1" t="s">
        <v>1106</v>
      </c>
      <c r="H671">
        <v>54</v>
      </c>
      <c r="I671">
        <v>34976</v>
      </c>
      <c r="J671">
        <v>195662</v>
      </c>
      <c r="K671">
        <v>0.15</v>
      </c>
      <c r="L671" s="1" t="s">
        <v>1085</v>
      </c>
      <c r="M671" s="1" t="s">
        <v>1086</v>
      </c>
      <c r="N671" t="s">
        <v>1241</v>
      </c>
    </row>
    <row r="672" spans="1:14">
      <c r="A672" s="1" t="s">
        <v>2942</v>
      </c>
      <c r="B672" s="1" t="s">
        <v>2943</v>
      </c>
      <c r="C672" s="1" t="s">
        <v>1140</v>
      </c>
      <c r="D672" s="1" t="s">
        <v>1097</v>
      </c>
      <c r="E672" s="1" t="s">
        <v>1082</v>
      </c>
      <c r="F672" s="1" t="s">
        <v>1083</v>
      </c>
      <c r="G672" s="1" t="s">
        <v>1133</v>
      </c>
      <c r="H672">
        <v>41</v>
      </c>
      <c r="I672" t="s">
        <v>2944</v>
      </c>
      <c r="J672">
        <v>49986</v>
      </c>
      <c r="K672">
        <v>0</v>
      </c>
      <c r="L672" s="1" t="s">
        <v>1085</v>
      </c>
      <c r="M672" s="1" t="s">
        <v>1137</v>
      </c>
      <c r="N672" t="s">
        <v>1241</v>
      </c>
    </row>
    <row r="673" spans="1:14">
      <c r="A673" s="1" t="s">
        <v>2945</v>
      </c>
      <c r="B673" s="1" t="s">
        <v>2946</v>
      </c>
      <c r="C673" s="1" t="s">
        <v>1160</v>
      </c>
      <c r="D673" s="1" t="s">
        <v>1120</v>
      </c>
      <c r="E673" s="1" t="s">
        <v>1091</v>
      </c>
      <c r="F673" s="1" t="s">
        <v>1083</v>
      </c>
      <c r="G673" s="1" t="s">
        <v>1106</v>
      </c>
      <c r="H673">
        <v>27</v>
      </c>
      <c r="I673" t="s">
        <v>2293</v>
      </c>
      <c r="J673">
        <v>181587</v>
      </c>
      <c r="K673">
        <v>0.38</v>
      </c>
      <c r="L673" s="1" t="s">
        <v>1221</v>
      </c>
      <c r="M673" s="1" t="s">
        <v>1443</v>
      </c>
      <c r="N673" t="s">
        <v>1241</v>
      </c>
    </row>
    <row r="674" spans="1:14">
      <c r="A674" s="1" t="s">
        <v>2947</v>
      </c>
      <c r="B674" s="1" t="s">
        <v>2948</v>
      </c>
      <c r="C674" s="1" t="s">
        <v>1160</v>
      </c>
      <c r="D674" s="1" t="s">
        <v>1208</v>
      </c>
      <c r="E674" s="1" t="s">
        <v>1121</v>
      </c>
      <c r="F674" s="1" t="s">
        <v>1105</v>
      </c>
      <c r="G674" s="1" t="s">
        <v>1084</v>
      </c>
      <c r="H674">
        <v>51</v>
      </c>
      <c r="I674" t="s">
        <v>2949</v>
      </c>
      <c r="J674">
        <v>199736</v>
      </c>
      <c r="K674">
        <v>0.35</v>
      </c>
      <c r="L674" s="1" t="s">
        <v>1085</v>
      </c>
      <c r="M674" s="1" t="s">
        <v>1112</v>
      </c>
      <c r="N674" t="s">
        <v>1241</v>
      </c>
    </row>
    <row r="675" spans="1:14">
      <c r="A675" s="1" t="s">
        <v>2950</v>
      </c>
      <c r="B675" s="1" t="s">
        <v>2951</v>
      </c>
      <c r="C675" s="1" t="s">
        <v>1160</v>
      </c>
      <c r="D675" s="1" t="s">
        <v>1120</v>
      </c>
      <c r="E675" s="1" t="s">
        <v>1091</v>
      </c>
      <c r="F675" s="1" t="s">
        <v>1083</v>
      </c>
      <c r="G675" s="1" t="s">
        <v>1084</v>
      </c>
      <c r="H675">
        <v>45</v>
      </c>
      <c r="I675">
        <v>41821</v>
      </c>
      <c r="J675">
        <v>250639</v>
      </c>
      <c r="K675">
        <v>0.34</v>
      </c>
      <c r="L675" s="1" t="s">
        <v>1100</v>
      </c>
      <c r="M675" s="1" t="s">
        <v>1101</v>
      </c>
      <c r="N675" t="s">
        <v>1241</v>
      </c>
    </row>
    <row r="676" spans="1:14">
      <c r="A676" s="1" t="s">
        <v>2952</v>
      </c>
      <c r="B676" s="1" t="s">
        <v>2953</v>
      </c>
      <c r="C676" s="1" t="s">
        <v>1591</v>
      </c>
      <c r="D676" s="1" t="s">
        <v>1090</v>
      </c>
      <c r="E676" s="1" t="s">
        <v>1091</v>
      </c>
      <c r="F676" s="1" t="s">
        <v>1083</v>
      </c>
      <c r="G676" s="1" t="s">
        <v>1106</v>
      </c>
      <c r="H676">
        <v>34</v>
      </c>
      <c r="I676" t="s">
        <v>2954</v>
      </c>
      <c r="J676">
        <v>80655</v>
      </c>
      <c r="K676">
        <v>0</v>
      </c>
      <c r="L676" s="1" t="s">
        <v>1221</v>
      </c>
      <c r="M676" s="1" t="s">
        <v>1298</v>
      </c>
      <c r="N676" t="s">
        <v>1241</v>
      </c>
    </row>
    <row r="677" spans="1:14">
      <c r="A677" s="1" t="s">
        <v>2955</v>
      </c>
      <c r="B677" s="1" t="s">
        <v>2956</v>
      </c>
      <c r="C677" s="1" t="s">
        <v>1126</v>
      </c>
      <c r="D677" s="1" t="s">
        <v>1127</v>
      </c>
      <c r="E677" s="1" t="s">
        <v>1098</v>
      </c>
      <c r="F677" s="1" t="s">
        <v>1105</v>
      </c>
      <c r="G677" s="1" t="s">
        <v>1084</v>
      </c>
      <c r="H677">
        <v>33</v>
      </c>
      <c r="I677" t="s">
        <v>2957</v>
      </c>
      <c r="J677">
        <v>64327</v>
      </c>
      <c r="K677">
        <v>0</v>
      </c>
      <c r="L677" s="1" t="s">
        <v>1100</v>
      </c>
      <c r="M677" s="1" t="s">
        <v>1123</v>
      </c>
      <c r="N677" t="s">
        <v>1241</v>
      </c>
    </row>
    <row r="678" spans="1:14">
      <c r="A678" s="1" t="s">
        <v>2958</v>
      </c>
      <c r="B678" s="1" t="s">
        <v>2959</v>
      </c>
      <c r="C678" s="1" t="s">
        <v>1126</v>
      </c>
      <c r="D678" s="1" t="s">
        <v>1120</v>
      </c>
      <c r="E678" s="1" t="s">
        <v>1098</v>
      </c>
      <c r="F678" s="1" t="s">
        <v>1105</v>
      </c>
      <c r="G678" s="1" t="s">
        <v>1133</v>
      </c>
      <c r="H678">
        <v>37</v>
      </c>
      <c r="I678">
        <v>43323</v>
      </c>
      <c r="J678">
        <v>72005</v>
      </c>
      <c r="K678">
        <v>0</v>
      </c>
      <c r="L678" s="1" t="s">
        <v>1085</v>
      </c>
      <c r="M678" s="1" t="s">
        <v>1112</v>
      </c>
      <c r="N678" t="s">
        <v>2960</v>
      </c>
    </row>
    <row r="679" spans="1:14">
      <c r="A679" s="1" t="s">
        <v>2961</v>
      </c>
      <c r="B679" s="1" t="s">
        <v>2962</v>
      </c>
      <c r="C679" s="1" t="s">
        <v>1601</v>
      </c>
      <c r="D679" s="1" t="s">
        <v>1081</v>
      </c>
      <c r="E679" s="1" t="s">
        <v>1121</v>
      </c>
      <c r="F679" s="1" t="s">
        <v>1105</v>
      </c>
      <c r="G679" s="1" t="s">
        <v>1084</v>
      </c>
      <c r="H679">
        <v>56</v>
      </c>
      <c r="I679" t="s">
        <v>2963</v>
      </c>
      <c r="J679">
        <v>62497</v>
      </c>
      <c r="K679">
        <v>0</v>
      </c>
      <c r="L679" s="1" t="s">
        <v>1085</v>
      </c>
      <c r="M679" s="1" t="s">
        <v>1107</v>
      </c>
      <c r="N679" t="s">
        <v>1241</v>
      </c>
    </row>
    <row r="680" spans="1:14">
      <c r="A680" s="1" t="s">
        <v>2964</v>
      </c>
      <c r="B680" s="1" t="s">
        <v>2965</v>
      </c>
      <c r="C680" s="1" t="s">
        <v>1591</v>
      </c>
      <c r="D680" s="1" t="s">
        <v>1090</v>
      </c>
      <c r="E680" s="1" t="s">
        <v>1098</v>
      </c>
      <c r="F680" s="1" t="s">
        <v>1083</v>
      </c>
      <c r="G680" s="1" t="s">
        <v>1133</v>
      </c>
      <c r="H680">
        <v>46</v>
      </c>
      <c r="I680" t="s">
        <v>2966</v>
      </c>
      <c r="J680">
        <v>74912</v>
      </c>
      <c r="K680">
        <v>0</v>
      </c>
      <c r="L680" s="1" t="s">
        <v>1085</v>
      </c>
      <c r="M680" s="1" t="s">
        <v>1116</v>
      </c>
      <c r="N680" t="s">
        <v>1241</v>
      </c>
    </row>
    <row r="681" spans="1:14">
      <c r="A681" s="1" t="s">
        <v>2967</v>
      </c>
      <c r="B681" s="1" t="s">
        <v>2968</v>
      </c>
      <c r="C681" s="1" t="s">
        <v>1213</v>
      </c>
      <c r="D681" s="1" t="s">
        <v>1208</v>
      </c>
      <c r="E681" s="1" t="s">
        <v>1121</v>
      </c>
      <c r="F681" s="1" t="s">
        <v>1083</v>
      </c>
      <c r="G681" s="1" t="s">
        <v>1133</v>
      </c>
      <c r="H681">
        <v>45</v>
      </c>
      <c r="I681" t="s">
        <v>2969</v>
      </c>
      <c r="J681">
        <v>50393</v>
      </c>
      <c r="K681">
        <v>0</v>
      </c>
      <c r="L681" s="1" t="s">
        <v>1085</v>
      </c>
      <c r="M681" s="1" t="s">
        <v>1137</v>
      </c>
      <c r="N681" t="s">
        <v>2970</v>
      </c>
    </row>
    <row r="682" spans="1:14">
      <c r="A682" s="1" t="s">
        <v>2971</v>
      </c>
      <c r="B682" s="1" t="s">
        <v>2972</v>
      </c>
      <c r="C682" s="1" t="s">
        <v>1285</v>
      </c>
      <c r="D682" s="1" t="s">
        <v>1097</v>
      </c>
      <c r="E682" s="1" t="s">
        <v>1082</v>
      </c>
      <c r="F682" s="1" t="s">
        <v>1083</v>
      </c>
      <c r="G682" s="1" t="s">
        <v>1106</v>
      </c>
      <c r="H682">
        <v>32</v>
      </c>
      <c r="I682" t="s">
        <v>2973</v>
      </c>
      <c r="J682">
        <v>79670</v>
      </c>
      <c r="K682">
        <v>0</v>
      </c>
      <c r="L682" s="1" t="s">
        <v>1085</v>
      </c>
      <c r="M682" s="1" t="s">
        <v>1086</v>
      </c>
      <c r="N682" t="s">
        <v>1241</v>
      </c>
    </row>
    <row r="683" spans="1:14">
      <c r="A683" s="1" t="s">
        <v>2974</v>
      </c>
      <c r="B683" s="1" t="s">
        <v>2975</v>
      </c>
      <c r="C683" s="1" t="s">
        <v>1152</v>
      </c>
      <c r="D683" s="1" t="s">
        <v>1120</v>
      </c>
      <c r="E683" s="1" t="s">
        <v>1091</v>
      </c>
      <c r="F683" s="1" t="s">
        <v>1105</v>
      </c>
      <c r="G683" s="1" t="s">
        <v>1153</v>
      </c>
      <c r="H683">
        <v>51</v>
      </c>
      <c r="I683" t="s">
        <v>2976</v>
      </c>
      <c r="J683">
        <v>148942</v>
      </c>
      <c r="K683">
        <v>0.13</v>
      </c>
      <c r="L683" s="1" t="s">
        <v>1085</v>
      </c>
      <c r="M683" s="1" t="s">
        <v>1086</v>
      </c>
      <c r="N683" t="s">
        <v>2977</v>
      </c>
    </row>
    <row r="684" spans="1:14">
      <c r="A684" s="1" t="s">
        <v>2978</v>
      </c>
      <c r="B684" s="1" t="s">
        <v>2979</v>
      </c>
      <c r="C684" s="1" t="s">
        <v>1165</v>
      </c>
      <c r="D684" s="1" t="s">
        <v>1097</v>
      </c>
      <c r="E684" s="1" t="s">
        <v>1098</v>
      </c>
      <c r="F684" s="1" t="s">
        <v>1083</v>
      </c>
      <c r="G684" s="1" t="s">
        <v>1133</v>
      </c>
      <c r="H684">
        <v>29</v>
      </c>
      <c r="I684">
        <v>43347</v>
      </c>
      <c r="J684">
        <v>98504</v>
      </c>
      <c r="K684">
        <v>0</v>
      </c>
      <c r="L684" s="1" t="s">
        <v>1085</v>
      </c>
      <c r="M684" s="1" t="s">
        <v>1137</v>
      </c>
      <c r="N684">
        <v>44902</v>
      </c>
    </row>
    <row r="685" spans="1:14">
      <c r="A685" s="1" t="s">
        <v>2980</v>
      </c>
      <c r="B685" s="1" t="s">
        <v>2981</v>
      </c>
      <c r="C685" s="1" t="s">
        <v>1165</v>
      </c>
      <c r="D685" s="1" t="s">
        <v>1097</v>
      </c>
      <c r="E685" s="1" t="s">
        <v>1082</v>
      </c>
      <c r="F685" s="1" t="s">
        <v>1083</v>
      </c>
      <c r="G685" s="1" t="s">
        <v>1133</v>
      </c>
      <c r="H685">
        <v>38</v>
      </c>
      <c r="I685" t="s">
        <v>2982</v>
      </c>
      <c r="J685">
        <v>70588</v>
      </c>
      <c r="K685">
        <v>0</v>
      </c>
      <c r="L685" s="1" t="s">
        <v>1085</v>
      </c>
      <c r="M685" s="1" t="s">
        <v>1137</v>
      </c>
      <c r="N685" t="s">
        <v>1241</v>
      </c>
    </row>
    <row r="686" spans="1:14">
      <c r="A686" s="1" t="s">
        <v>2983</v>
      </c>
      <c r="B686" s="1" t="s">
        <v>2984</v>
      </c>
      <c r="C686" s="1" t="s">
        <v>1089</v>
      </c>
      <c r="D686" s="1" t="s">
        <v>1120</v>
      </c>
      <c r="E686" s="1" t="s">
        <v>1091</v>
      </c>
      <c r="F686" s="1" t="s">
        <v>1105</v>
      </c>
      <c r="G686" s="1" t="s">
        <v>1133</v>
      </c>
      <c r="H686">
        <v>58</v>
      </c>
      <c r="I686" t="s">
        <v>2985</v>
      </c>
      <c r="J686">
        <v>58336</v>
      </c>
      <c r="K686">
        <v>0</v>
      </c>
      <c r="L686" s="1" t="s">
        <v>1085</v>
      </c>
      <c r="M686" s="1" t="s">
        <v>1137</v>
      </c>
      <c r="N686" t="s">
        <v>1241</v>
      </c>
    </row>
    <row r="687" spans="1:14">
      <c r="A687" s="1" t="s">
        <v>2986</v>
      </c>
      <c r="B687" s="1" t="s">
        <v>2987</v>
      </c>
      <c r="C687" s="1" t="s">
        <v>1594</v>
      </c>
      <c r="D687" s="1" t="s">
        <v>1081</v>
      </c>
      <c r="E687" s="1" t="s">
        <v>1091</v>
      </c>
      <c r="F687" s="1" t="s">
        <v>1105</v>
      </c>
      <c r="G687" s="1" t="s">
        <v>1084</v>
      </c>
      <c r="H687">
        <v>45</v>
      </c>
      <c r="I687">
        <v>40795</v>
      </c>
      <c r="J687">
        <v>86001</v>
      </c>
      <c r="K687">
        <v>0</v>
      </c>
      <c r="L687" s="1" t="s">
        <v>1085</v>
      </c>
      <c r="M687" s="1" t="s">
        <v>1112</v>
      </c>
      <c r="N687" t="s">
        <v>1241</v>
      </c>
    </row>
    <row r="688" spans="1:14">
      <c r="A688" s="1" t="s">
        <v>2988</v>
      </c>
      <c r="B688" s="1" t="s">
        <v>2989</v>
      </c>
      <c r="C688" s="1" t="s">
        <v>1119</v>
      </c>
      <c r="D688" s="1" t="s">
        <v>1090</v>
      </c>
      <c r="E688" s="1" t="s">
        <v>1121</v>
      </c>
      <c r="F688" s="1" t="s">
        <v>1083</v>
      </c>
      <c r="G688" s="1" t="s">
        <v>1084</v>
      </c>
      <c r="H688">
        <v>49</v>
      </c>
      <c r="I688" t="s">
        <v>1674</v>
      </c>
      <c r="J688">
        <v>91121</v>
      </c>
      <c r="K688">
        <v>0</v>
      </c>
      <c r="L688" s="1" t="s">
        <v>1085</v>
      </c>
      <c r="M688" s="1" t="s">
        <v>1107</v>
      </c>
      <c r="N688" t="s">
        <v>2990</v>
      </c>
    </row>
    <row r="689" spans="1:14">
      <c r="A689" s="1" t="s">
        <v>2991</v>
      </c>
      <c r="B689" s="1" t="s">
        <v>2992</v>
      </c>
      <c r="C689" s="1" t="s">
        <v>1110</v>
      </c>
      <c r="D689" s="1" t="s">
        <v>1208</v>
      </c>
      <c r="E689" s="1" t="s">
        <v>1091</v>
      </c>
      <c r="F689" s="1" t="s">
        <v>1105</v>
      </c>
      <c r="G689" s="1" t="s">
        <v>1084</v>
      </c>
      <c r="H689">
        <v>50</v>
      </c>
      <c r="I689" t="s">
        <v>2993</v>
      </c>
      <c r="J689">
        <v>183308</v>
      </c>
      <c r="K689">
        <v>0.24</v>
      </c>
      <c r="L689" s="1" t="s">
        <v>1085</v>
      </c>
      <c r="M689" s="1" t="s">
        <v>1137</v>
      </c>
      <c r="N689" t="s">
        <v>1241</v>
      </c>
    </row>
    <row r="690" spans="1:14">
      <c r="A690" s="1" t="s">
        <v>2994</v>
      </c>
      <c r="B690" s="1" t="s">
        <v>2995</v>
      </c>
      <c r="C690" s="1" t="s">
        <v>1560</v>
      </c>
      <c r="D690" s="1" t="s">
        <v>1097</v>
      </c>
      <c r="E690" s="1" t="s">
        <v>1082</v>
      </c>
      <c r="F690" s="1" t="s">
        <v>1083</v>
      </c>
      <c r="G690" s="1" t="s">
        <v>1133</v>
      </c>
      <c r="H690">
        <v>32</v>
      </c>
      <c r="I690">
        <v>44319</v>
      </c>
      <c r="J690">
        <v>71674</v>
      </c>
      <c r="K690">
        <v>0</v>
      </c>
      <c r="L690" s="1" t="s">
        <v>1085</v>
      </c>
      <c r="M690" s="1" t="s">
        <v>1093</v>
      </c>
      <c r="N690" t="s">
        <v>2996</v>
      </c>
    </row>
    <row r="691" spans="1:14">
      <c r="A691" s="1" t="s">
        <v>2997</v>
      </c>
      <c r="B691" s="1" t="s">
        <v>2998</v>
      </c>
      <c r="C691" s="1" t="s">
        <v>1318</v>
      </c>
      <c r="D691" s="1" t="s">
        <v>1081</v>
      </c>
      <c r="E691" s="1" t="s">
        <v>1082</v>
      </c>
      <c r="F691" s="1" t="s">
        <v>1083</v>
      </c>
      <c r="G691" s="1" t="s">
        <v>1084</v>
      </c>
      <c r="H691">
        <v>29</v>
      </c>
      <c r="I691">
        <v>42795</v>
      </c>
      <c r="J691">
        <v>118639</v>
      </c>
      <c r="K691">
        <v>0</v>
      </c>
      <c r="L691" s="1" t="s">
        <v>1085</v>
      </c>
      <c r="M691" s="1" t="s">
        <v>1116</v>
      </c>
      <c r="N691" t="s">
        <v>1241</v>
      </c>
    </row>
    <row r="692" spans="1:14">
      <c r="A692" s="1" t="s">
        <v>2999</v>
      </c>
      <c r="B692" s="1" t="s">
        <v>3000</v>
      </c>
      <c r="C692" s="1" t="s">
        <v>1285</v>
      </c>
      <c r="D692" s="1" t="s">
        <v>1097</v>
      </c>
      <c r="E692" s="1" t="s">
        <v>1091</v>
      </c>
      <c r="F692" s="1" t="s">
        <v>1083</v>
      </c>
      <c r="G692" s="1" t="s">
        <v>1084</v>
      </c>
      <c r="H692">
        <v>34</v>
      </c>
      <c r="I692">
        <v>43384</v>
      </c>
      <c r="J692">
        <v>71808</v>
      </c>
      <c r="K692">
        <v>0</v>
      </c>
      <c r="L692" s="1" t="s">
        <v>1100</v>
      </c>
      <c r="M692" s="1" t="s">
        <v>1129</v>
      </c>
      <c r="N692" t="s">
        <v>1241</v>
      </c>
    </row>
    <row r="693" spans="1:14">
      <c r="A693" s="1" t="s">
        <v>3001</v>
      </c>
      <c r="B693" s="1" t="s">
        <v>3002</v>
      </c>
      <c r="C693" s="1" t="s">
        <v>1152</v>
      </c>
      <c r="D693" s="1" t="s">
        <v>1208</v>
      </c>
      <c r="E693" s="1" t="s">
        <v>1082</v>
      </c>
      <c r="F693" s="1" t="s">
        <v>1083</v>
      </c>
      <c r="G693" s="1" t="s">
        <v>1084</v>
      </c>
      <c r="H693">
        <v>50</v>
      </c>
      <c r="I693" t="s">
        <v>3003</v>
      </c>
      <c r="J693">
        <v>156374</v>
      </c>
      <c r="K693">
        <v>0.15</v>
      </c>
      <c r="L693" s="1" t="s">
        <v>1100</v>
      </c>
      <c r="M693" s="1" t="s">
        <v>1188</v>
      </c>
      <c r="N693" t="s">
        <v>1241</v>
      </c>
    </row>
    <row r="694" spans="1:14">
      <c r="A694" s="1" t="s">
        <v>3004</v>
      </c>
      <c r="B694" s="1" t="s">
        <v>3005</v>
      </c>
      <c r="C694" s="1" t="s">
        <v>1140</v>
      </c>
      <c r="D694" s="1" t="s">
        <v>1097</v>
      </c>
      <c r="E694" s="1" t="s">
        <v>1082</v>
      </c>
      <c r="F694" s="1" t="s">
        <v>1105</v>
      </c>
      <c r="G694" s="1" t="s">
        <v>1084</v>
      </c>
      <c r="H694">
        <v>27</v>
      </c>
      <c r="I694">
        <v>44472</v>
      </c>
      <c r="J694">
        <v>51133</v>
      </c>
      <c r="K694">
        <v>0</v>
      </c>
      <c r="L694" s="1" t="s">
        <v>1085</v>
      </c>
      <c r="M694" s="1" t="s">
        <v>1093</v>
      </c>
      <c r="N694" t="s">
        <v>1241</v>
      </c>
    </row>
    <row r="695" spans="1:14">
      <c r="A695" s="1" t="s">
        <v>3006</v>
      </c>
      <c r="B695" s="1" t="s">
        <v>3007</v>
      </c>
      <c r="C695" s="1" t="s">
        <v>1601</v>
      </c>
      <c r="D695" s="1" t="s">
        <v>1081</v>
      </c>
      <c r="E695" s="1" t="s">
        <v>1121</v>
      </c>
      <c r="F695" s="1" t="s">
        <v>1083</v>
      </c>
      <c r="G695" s="1" t="s">
        <v>1106</v>
      </c>
      <c r="H695">
        <v>60</v>
      </c>
      <c r="I695" t="s">
        <v>3008</v>
      </c>
      <c r="J695">
        <v>86761</v>
      </c>
      <c r="K695">
        <v>0</v>
      </c>
      <c r="L695" s="1" t="s">
        <v>1221</v>
      </c>
      <c r="M695" s="1" t="s">
        <v>1222</v>
      </c>
      <c r="N695" t="s">
        <v>1241</v>
      </c>
    </row>
    <row r="696" spans="1:14">
      <c r="A696" s="1" t="s">
        <v>3009</v>
      </c>
      <c r="B696" s="1" t="s">
        <v>3010</v>
      </c>
      <c r="C696" s="1" t="s">
        <v>1136</v>
      </c>
      <c r="D696" s="1" t="s">
        <v>1097</v>
      </c>
      <c r="E696" s="1" t="s">
        <v>1082</v>
      </c>
      <c r="F696" s="1" t="s">
        <v>1105</v>
      </c>
      <c r="G696" s="1" t="s">
        <v>1084</v>
      </c>
      <c r="H696">
        <v>65</v>
      </c>
      <c r="I696">
        <v>34461</v>
      </c>
      <c r="J696">
        <v>125213</v>
      </c>
      <c r="K696">
        <v>7.0000000000000007E-2</v>
      </c>
      <c r="L696" s="1" t="s">
        <v>1085</v>
      </c>
      <c r="M696" s="1" t="s">
        <v>1107</v>
      </c>
      <c r="N696" t="s">
        <v>1241</v>
      </c>
    </row>
    <row r="697" spans="1:14">
      <c r="A697" s="1" t="s">
        <v>3011</v>
      </c>
      <c r="B697" s="1" t="s">
        <v>3012</v>
      </c>
      <c r="C697" s="1" t="s">
        <v>1136</v>
      </c>
      <c r="D697" s="1" t="s">
        <v>1090</v>
      </c>
      <c r="E697" s="1" t="s">
        <v>1082</v>
      </c>
      <c r="F697" s="1" t="s">
        <v>1083</v>
      </c>
      <c r="G697" s="1" t="s">
        <v>1084</v>
      </c>
      <c r="H697">
        <v>43</v>
      </c>
      <c r="I697" t="s">
        <v>3013</v>
      </c>
      <c r="J697">
        <v>120305</v>
      </c>
      <c r="K697">
        <v>7.0000000000000007E-2</v>
      </c>
      <c r="L697" s="1" t="s">
        <v>1100</v>
      </c>
      <c r="M697" s="1" t="s">
        <v>1101</v>
      </c>
      <c r="N697" t="s">
        <v>1241</v>
      </c>
    </row>
    <row r="698" spans="1:14">
      <c r="A698" s="1" t="s">
        <v>3014</v>
      </c>
      <c r="B698" s="1" t="s">
        <v>3015</v>
      </c>
      <c r="C698" s="1" t="s">
        <v>1152</v>
      </c>
      <c r="D698" s="1" t="s">
        <v>1148</v>
      </c>
      <c r="E698" s="1" t="s">
        <v>1098</v>
      </c>
      <c r="F698" s="1" t="s">
        <v>1105</v>
      </c>
      <c r="G698" s="1" t="s">
        <v>1133</v>
      </c>
      <c r="H698">
        <v>45</v>
      </c>
      <c r="I698" t="s">
        <v>3016</v>
      </c>
      <c r="J698">
        <v>138355</v>
      </c>
      <c r="K698">
        <v>0.14000000000000001</v>
      </c>
      <c r="L698" s="1" t="s">
        <v>1085</v>
      </c>
      <c r="M698" s="1" t="s">
        <v>1086</v>
      </c>
      <c r="N698" t="s">
        <v>1241</v>
      </c>
    </row>
    <row r="699" spans="1:14">
      <c r="A699" s="1" t="s">
        <v>3017</v>
      </c>
      <c r="B699" s="1" t="s">
        <v>3018</v>
      </c>
      <c r="C699" s="1" t="s">
        <v>1528</v>
      </c>
      <c r="D699" s="1" t="s">
        <v>1097</v>
      </c>
      <c r="E699" s="1" t="s">
        <v>1091</v>
      </c>
      <c r="F699" s="1" t="s">
        <v>1083</v>
      </c>
      <c r="G699" s="1" t="s">
        <v>1084</v>
      </c>
      <c r="H699">
        <v>28</v>
      </c>
      <c r="I699">
        <v>44293</v>
      </c>
      <c r="J699">
        <v>70996</v>
      </c>
      <c r="K699">
        <v>0</v>
      </c>
      <c r="L699" s="1" t="s">
        <v>1085</v>
      </c>
      <c r="M699" s="1" t="s">
        <v>1112</v>
      </c>
      <c r="N699" t="s">
        <v>1241</v>
      </c>
    </row>
    <row r="700" spans="1:14">
      <c r="A700" s="1" t="s">
        <v>3019</v>
      </c>
      <c r="B700" s="1" t="s">
        <v>3020</v>
      </c>
      <c r="C700" s="1" t="s">
        <v>1294</v>
      </c>
      <c r="D700" s="1" t="s">
        <v>1097</v>
      </c>
      <c r="E700" s="1" t="s">
        <v>1082</v>
      </c>
      <c r="F700" s="1" t="s">
        <v>1083</v>
      </c>
      <c r="G700" s="1" t="s">
        <v>1133</v>
      </c>
      <c r="H700">
        <v>34</v>
      </c>
      <c r="I700" t="s">
        <v>3021</v>
      </c>
      <c r="J700">
        <v>77024</v>
      </c>
      <c r="K700">
        <v>0.09</v>
      </c>
      <c r="L700" s="1" t="s">
        <v>1085</v>
      </c>
      <c r="M700" s="1" t="s">
        <v>1116</v>
      </c>
      <c r="N700" t="s">
        <v>3022</v>
      </c>
    </row>
    <row r="701" spans="1:14">
      <c r="A701" s="1" t="s">
        <v>3023</v>
      </c>
      <c r="B701" s="1" t="s">
        <v>3024</v>
      </c>
      <c r="C701" s="1" t="s">
        <v>1269</v>
      </c>
      <c r="D701" s="1" t="s">
        <v>1097</v>
      </c>
      <c r="E701" s="1" t="s">
        <v>1121</v>
      </c>
      <c r="F701" s="1" t="s">
        <v>1083</v>
      </c>
      <c r="G701" s="1" t="s">
        <v>1153</v>
      </c>
      <c r="H701">
        <v>31</v>
      </c>
      <c r="I701" t="s">
        <v>3025</v>
      </c>
      <c r="J701">
        <v>50022</v>
      </c>
      <c r="K701">
        <v>0</v>
      </c>
      <c r="L701" s="1" t="s">
        <v>1085</v>
      </c>
      <c r="M701" s="1" t="s">
        <v>1137</v>
      </c>
      <c r="N701" t="s">
        <v>1241</v>
      </c>
    </row>
    <row r="702" spans="1:14">
      <c r="A702" s="1" t="s">
        <v>3026</v>
      </c>
      <c r="B702" s="1" t="s">
        <v>3027</v>
      </c>
      <c r="C702" s="1" t="s">
        <v>1160</v>
      </c>
      <c r="D702" s="1" t="s">
        <v>1090</v>
      </c>
      <c r="E702" s="1" t="s">
        <v>1121</v>
      </c>
      <c r="F702" s="1" t="s">
        <v>1083</v>
      </c>
      <c r="G702" s="1" t="s">
        <v>1106</v>
      </c>
      <c r="H702">
        <v>29</v>
      </c>
      <c r="I702">
        <v>42887</v>
      </c>
      <c r="J702">
        <v>204534</v>
      </c>
      <c r="K702">
        <v>0.38</v>
      </c>
      <c r="L702" s="1" t="s">
        <v>1085</v>
      </c>
      <c r="M702" s="1" t="s">
        <v>1093</v>
      </c>
      <c r="N702" t="s">
        <v>1241</v>
      </c>
    </row>
    <row r="703" spans="1:14">
      <c r="A703" s="1" t="s">
        <v>3028</v>
      </c>
      <c r="B703" s="1" t="s">
        <v>3029</v>
      </c>
      <c r="C703" s="1" t="s">
        <v>1591</v>
      </c>
      <c r="D703" s="1" t="s">
        <v>1090</v>
      </c>
      <c r="E703" s="1" t="s">
        <v>1098</v>
      </c>
      <c r="F703" s="1" t="s">
        <v>1083</v>
      </c>
      <c r="G703" s="1" t="s">
        <v>1106</v>
      </c>
      <c r="H703">
        <v>49</v>
      </c>
      <c r="I703" t="s">
        <v>3030</v>
      </c>
      <c r="J703">
        <v>75814</v>
      </c>
      <c r="K703">
        <v>0</v>
      </c>
      <c r="L703" s="1" t="s">
        <v>1085</v>
      </c>
      <c r="M703" s="1" t="s">
        <v>1093</v>
      </c>
      <c r="N703" t="s">
        <v>1241</v>
      </c>
    </row>
    <row r="704" spans="1:14">
      <c r="A704" s="1" t="s">
        <v>3031</v>
      </c>
      <c r="B704" s="1" t="s">
        <v>3032</v>
      </c>
      <c r="C704" s="1" t="s">
        <v>1110</v>
      </c>
      <c r="D704" s="1" t="s">
        <v>1090</v>
      </c>
      <c r="E704" s="1" t="s">
        <v>1082</v>
      </c>
      <c r="F704" s="1" t="s">
        <v>1083</v>
      </c>
      <c r="G704" s="1" t="s">
        <v>1084</v>
      </c>
      <c r="H704">
        <v>47</v>
      </c>
      <c r="I704" t="s">
        <v>2238</v>
      </c>
      <c r="J704">
        <v>169487</v>
      </c>
      <c r="K704">
        <v>0.23</v>
      </c>
      <c r="L704" s="1" t="s">
        <v>1085</v>
      </c>
      <c r="M704" s="1" t="s">
        <v>1086</v>
      </c>
      <c r="N704" t="s">
        <v>1241</v>
      </c>
    </row>
    <row r="705" spans="1:14">
      <c r="A705" s="1" t="s">
        <v>3033</v>
      </c>
      <c r="B705" s="1" t="s">
        <v>3034</v>
      </c>
      <c r="C705" s="1" t="s">
        <v>1152</v>
      </c>
      <c r="D705" s="1" t="s">
        <v>1097</v>
      </c>
      <c r="E705" s="1" t="s">
        <v>1091</v>
      </c>
      <c r="F705" s="1" t="s">
        <v>1105</v>
      </c>
      <c r="G705" s="1" t="s">
        <v>1133</v>
      </c>
      <c r="H705">
        <v>56</v>
      </c>
      <c r="I705">
        <v>37412</v>
      </c>
      <c r="J705">
        <v>156435</v>
      </c>
      <c r="K705">
        <v>0.1</v>
      </c>
      <c r="L705" s="1" t="s">
        <v>1085</v>
      </c>
      <c r="M705" s="1" t="s">
        <v>1093</v>
      </c>
      <c r="N705" t="s">
        <v>1241</v>
      </c>
    </row>
    <row r="706" spans="1:14">
      <c r="A706" s="1" t="s">
        <v>3035</v>
      </c>
      <c r="B706" s="1" t="s">
        <v>3036</v>
      </c>
      <c r="C706" s="1" t="s">
        <v>1177</v>
      </c>
      <c r="D706" s="1" t="s">
        <v>1090</v>
      </c>
      <c r="E706" s="1" t="s">
        <v>1121</v>
      </c>
      <c r="F706" s="1" t="s">
        <v>1083</v>
      </c>
      <c r="G706" s="1" t="s">
        <v>1084</v>
      </c>
      <c r="H706">
        <v>52</v>
      </c>
      <c r="I706" t="s">
        <v>3037</v>
      </c>
      <c r="J706">
        <v>59845</v>
      </c>
      <c r="K706">
        <v>0</v>
      </c>
      <c r="L706" s="1" t="s">
        <v>1100</v>
      </c>
      <c r="M706" s="1" t="s">
        <v>1188</v>
      </c>
      <c r="N706" t="s">
        <v>1241</v>
      </c>
    </row>
    <row r="707" spans="1:14">
      <c r="A707" s="1" t="s">
        <v>3038</v>
      </c>
      <c r="B707" s="1" t="s">
        <v>3039</v>
      </c>
      <c r="C707" s="1" t="s">
        <v>1132</v>
      </c>
      <c r="D707" s="1" t="s">
        <v>1097</v>
      </c>
      <c r="E707" s="1" t="s">
        <v>1082</v>
      </c>
      <c r="F707" s="1" t="s">
        <v>1105</v>
      </c>
      <c r="G707" s="1" t="s">
        <v>1106</v>
      </c>
      <c r="H707">
        <v>37</v>
      </c>
      <c r="I707">
        <v>43985</v>
      </c>
      <c r="J707">
        <v>93656</v>
      </c>
      <c r="K707">
        <v>0</v>
      </c>
      <c r="L707" s="1" t="s">
        <v>1085</v>
      </c>
      <c r="M707" s="1" t="s">
        <v>1086</v>
      </c>
      <c r="N707" t="s">
        <v>1241</v>
      </c>
    </row>
    <row r="708" spans="1:14">
      <c r="A708" s="1" t="s">
        <v>3040</v>
      </c>
      <c r="B708" s="1" t="s">
        <v>3041</v>
      </c>
      <c r="C708" s="1" t="s">
        <v>1216</v>
      </c>
      <c r="D708" s="1" t="s">
        <v>1081</v>
      </c>
      <c r="E708" s="1" t="s">
        <v>1082</v>
      </c>
      <c r="F708" s="1" t="s">
        <v>1083</v>
      </c>
      <c r="G708" s="1" t="s">
        <v>1133</v>
      </c>
      <c r="H708">
        <v>55</v>
      </c>
      <c r="I708">
        <v>35949</v>
      </c>
      <c r="J708">
        <v>99035</v>
      </c>
      <c r="K708">
        <v>0</v>
      </c>
      <c r="L708" s="1" t="s">
        <v>1085</v>
      </c>
      <c r="M708" s="1" t="s">
        <v>1137</v>
      </c>
      <c r="N708" t="s">
        <v>1241</v>
      </c>
    </row>
    <row r="709" spans="1:14">
      <c r="A709" s="1" t="s">
        <v>3042</v>
      </c>
      <c r="B709" s="1" t="s">
        <v>3043</v>
      </c>
      <c r="C709" s="1" t="s">
        <v>1152</v>
      </c>
      <c r="D709" s="1" t="s">
        <v>1148</v>
      </c>
      <c r="E709" s="1" t="s">
        <v>1091</v>
      </c>
      <c r="F709" s="1" t="s">
        <v>1083</v>
      </c>
      <c r="G709" s="1" t="s">
        <v>1133</v>
      </c>
      <c r="H709">
        <v>27</v>
      </c>
      <c r="I709" t="s">
        <v>2996</v>
      </c>
      <c r="J709">
        <v>137997</v>
      </c>
      <c r="K709">
        <v>0.12</v>
      </c>
      <c r="L709" s="1" t="s">
        <v>1085</v>
      </c>
      <c r="M709" s="1" t="s">
        <v>1116</v>
      </c>
      <c r="N709" t="s">
        <v>1241</v>
      </c>
    </row>
    <row r="710" spans="1:14">
      <c r="A710" s="1" t="s">
        <v>3044</v>
      </c>
      <c r="B710" s="1" t="s">
        <v>3045</v>
      </c>
      <c r="C710" s="1" t="s">
        <v>1528</v>
      </c>
      <c r="D710" s="1" t="s">
        <v>1097</v>
      </c>
      <c r="E710" s="1" t="s">
        <v>1082</v>
      </c>
      <c r="F710" s="1" t="s">
        <v>1105</v>
      </c>
      <c r="G710" s="1" t="s">
        <v>1084</v>
      </c>
      <c r="H710">
        <v>28</v>
      </c>
      <c r="I710" t="s">
        <v>1982</v>
      </c>
      <c r="J710">
        <v>61573</v>
      </c>
      <c r="K710">
        <v>0</v>
      </c>
      <c r="L710" s="1" t="s">
        <v>1085</v>
      </c>
      <c r="M710" s="1" t="s">
        <v>1093</v>
      </c>
      <c r="N710" t="s">
        <v>1241</v>
      </c>
    </row>
    <row r="711" spans="1:14">
      <c r="A711" s="1" t="s">
        <v>3046</v>
      </c>
      <c r="B711" s="1" t="s">
        <v>3047</v>
      </c>
      <c r="C711" s="1" t="s">
        <v>1089</v>
      </c>
      <c r="D711" s="1" t="s">
        <v>1090</v>
      </c>
      <c r="E711" s="1" t="s">
        <v>1082</v>
      </c>
      <c r="F711" s="1" t="s">
        <v>1083</v>
      </c>
      <c r="G711" s="1" t="s">
        <v>1084</v>
      </c>
      <c r="H711">
        <v>55</v>
      </c>
      <c r="I711">
        <v>42160</v>
      </c>
      <c r="J711">
        <v>41102</v>
      </c>
      <c r="K711">
        <v>0</v>
      </c>
      <c r="L711" s="1" t="s">
        <v>1085</v>
      </c>
      <c r="M711" s="1" t="s">
        <v>1107</v>
      </c>
      <c r="N711" t="s">
        <v>1241</v>
      </c>
    </row>
    <row r="712" spans="1:14">
      <c r="A712" s="1" t="s">
        <v>3048</v>
      </c>
      <c r="B712" s="1" t="s">
        <v>3049</v>
      </c>
      <c r="C712" s="1" t="s">
        <v>1136</v>
      </c>
      <c r="D712" s="1" t="s">
        <v>1208</v>
      </c>
      <c r="E712" s="1" t="s">
        <v>1098</v>
      </c>
      <c r="F712" s="1" t="s">
        <v>1105</v>
      </c>
      <c r="G712" s="1" t="s">
        <v>1084</v>
      </c>
      <c r="H712">
        <v>44</v>
      </c>
      <c r="I712" t="s">
        <v>3050</v>
      </c>
      <c r="J712">
        <v>129866</v>
      </c>
      <c r="K712">
        <v>0.06</v>
      </c>
      <c r="L712" s="1" t="s">
        <v>1100</v>
      </c>
      <c r="M712" s="1" t="s">
        <v>1188</v>
      </c>
      <c r="N712" t="s">
        <v>1241</v>
      </c>
    </row>
    <row r="713" spans="1:14">
      <c r="A713" s="1" t="s">
        <v>3051</v>
      </c>
      <c r="B713" s="1" t="s">
        <v>3052</v>
      </c>
      <c r="C713" s="1" t="s">
        <v>1110</v>
      </c>
      <c r="D713" s="1" t="s">
        <v>1208</v>
      </c>
      <c r="E713" s="1" t="s">
        <v>1121</v>
      </c>
      <c r="F713" s="1" t="s">
        <v>1105</v>
      </c>
      <c r="G713" s="1" t="s">
        <v>1133</v>
      </c>
      <c r="H713">
        <v>28</v>
      </c>
      <c r="I713" t="s">
        <v>3053</v>
      </c>
      <c r="J713">
        <v>161868</v>
      </c>
      <c r="K713">
        <v>0.21</v>
      </c>
      <c r="L713" s="1" t="s">
        <v>1085</v>
      </c>
      <c r="M713" s="1" t="s">
        <v>1112</v>
      </c>
      <c r="N713" t="s">
        <v>1241</v>
      </c>
    </row>
    <row r="714" spans="1:14">
      <c r="A714" s="1" t="s">
        <v>3054</v>
      </c>
      <c r="B714" s="1" t="s">
        <v>3055</v>
      </c>
      <c r="C714" s="1" t="s">
        <v>1446</v>
      </c>
      <c r="D714" s="1" t="s">
        <v>1081</v>
      </c>
      <c r="E714" s="1" t="s">
        <v>1091</v>
      </c>
      <c r="F714" s="1" t="s">
        <v>1105</v>
      </c>
      <c r="G714" s="1" t="s">
        <v>1084</v>
      </c>
      <c r="H714">
        <v>55</v>
      </c>
      <c r="I714" t="s">
        <v>3056</v>
      </c>
      <c r="J714">
        <v>67131</v>
      </c>
      <c r="K714">
        <v>0</v>
      </c>
      <c r="L714" s="1" t="s">
        <v>1085</v>
      </c>
      <c r="M714" s="1" t="s">
        <v>1112</v>
      </c>
      <c r="N714" t="s">
        <v>1241</v>
      </c>
    </row>
    <row r="715" spans="1:14">
      <c r="A715" s="1" t="s">
        <v>3057</v>
      </c>
      <c r="B715" s="1" t="s">
        <v>3058</v>
      </c>
      <c r="C715" s="1" t="s">
        <v>1601</v>
      </c>
      <c r="D715" s="1" t="s">
        <v>1081</v>
      </c>
      <c r="E715" s="1" t="s">
        <v>1098</v>
      </c>
      <c r="F715" s="1" t="s">
        <v>1083</v>
      </c>
      <c r="G715" s="1" t="s">
        <v>1153</v>
      </c>
      <c r="H715">
        <v>44</v>
      </c>
      <c r="I715" t="s">
        <v>3059</v>
      </c>
      <c r="J715">
        <v>71345</v>
      </c>
      <c r="K715">
        <v>0</v>
      </c>
      <c r="L715" s="1" t="s">
        <v>1085</v>
      </c>
      <c r="M715" s="1" t="s">
        <v>1137</v>
      </c>
      <c r="N715" t="s">
        <v>1241</v>
      </c>
    </row>
    <row r="716" spans="1:14">
      <c r="A716" s="1" t="s">
        <v>3060</v>
      </c>
      <c r="B716" s="1" t="s">
        <v>3061</v>
      </c>
      <c r="C716" s="1" t="s">
        <v>1160</v>
      </c>
      <c r="D716" s="1" t="s">
        <v>1090</v>
      </c>
      <c r="E716" s="1" t="s">
        <v>1091</v>
      </c>
      <c r="F716" s="1" t="s">
        <v>1105</v>
      </c>
      <c r="G716" s="1" t="s">
        <v>1084</v>
      </c>
      <c r="H716">
        <v>30</v>
      </c>
      <c r="I716">
        <v>43718</v>
      </c>
      <c r="J716">
        <v>246757</v>
      </c>
      <c r="K716">
        <v>0.4</v>
      </c>
      <c r="L716" s="1" t="s">
        <v>1085</v>
      </c>
      <c r="M716" s="1" t="s">
        <v>1137</v>
      </c>
      <c r="N716" t="s">
        <v>1241</v>
      </c>
    </row>
    <row r="717" spans="1:14">
      <c r="A717" s="1" t="s">
        <v>3062</v>
      </c>
      <c r="B717" s="1" t="s">
        <v>3063</v>
      </c>
      <c r="C717" s="1" t="s">
        <v>1136</v>
      </c>
      <c r="D717" s="1" t="s">
        <v>1148</v>
      </c>
      <c r="E717" s="1" t="s">
        <v>1098</v>
      </c>
      <c r="F717" s="1" t="s">
        <v>1105</v>
      </c>
      <c r="G717" s="1" t="s">
        <v>1084</v>
      </c>
      <c r="H717">
        <v>63</v>
      </c>
      <c r="I717" t="s">
        <v>3064</v>
      </c>
      <c r="J717">
        <v>106880</v>
      </c>
      <c r="K717">
        <v>0.08</v>
      </c>
      <c r="L717" s="1" t="s">
        <v>1085</v>
      </c>
      <c r="M717" s="1" t="s">
        <v>1112</v>
      </c>
      <c r="N717" t="s">
        <v>1241</v>
      </c>
    </row>
    <row r="718" spans="1:14">
      <c r="A718" s="1" t="s">
        <v>3065</v>
      </c>
      <c r="B718" s="1" t="s">
        <v>3066</v>
      </c>
      <c r="C718" s="1" t="s">
        <v>1104</v>
      </c>
      <c r="D718" s="1" t="s">
        <v>1097</v>
      </c>
      <c r="E718" s="1" t="s">
        <v>1082</v>
      </c>
      <c r="F718" s="1" t="s">
        <v>1105</v>
      </c>
      <c r="G718" s="1" t="s">
        <v>1084</v>
      </c>
      <c r="H718">
        <v>36</v>
      </c>
      <c r="I718" t="s">
        <v>3067</v>
      </c>
      <c r="J718">
        <v>98733</v>
      </c>
      <c r="K718">
        <v>0</v>
      </c>
      <c r="L718" s="1" t="s">
        <v>1100</v>
      </c>
      <c r="M718" s="1" t="s">
        <v>1188</v>
      </c>
      <c r="N718" t="s">
        <v>1241</v>
      </c>
    </row>
    <row r="719" spans="1:14">
      <c r="A719" s="1" t="s">
        <v>3068</v>
      </c>
      <c r="B719" s="1" t="s">
        <v>3069</v>
      </c>
      <c r="C719" s="1" t="s">
        <v>1152</v>
      </c>
      <c r="D719" s="1" t="s">
        <v>1120</v>
      </c>
      <c r="E719" s="1" t="s">
        <v>1098</v>
      </c>
      <c r="F719" s="1" t="s">
        <v>1083</v>
      </c>
      <c r="G719" s="1" t="s">
        <v>1106</v>
      </c>
      <c r="H719">
        <v>28</v>
      </c>
      <c r="I719" t="s">
        <v>3070</v>
      </c>
      <c r="J719">
        <v>141675</v>
      </c>
      <c r="K719">
        <v>0.12</v>
      </c>
      <c r="L719" s="1" t="s">
        <v>1221</v>
      </c>
      <c r="M719" s="1" t="s">
        <v>1222</v>
      </c>
      <c r="N719" t="s">
        <v>3071</v>
      </c>
    </row>
    <row r="720" spans="1:14">
      <c r="A720" s="1" t="s">
        <v>3072</v>
      </c>
      <c r="B720" s="1" t="s">
        <v>3073</v>
      </c>
      <c r="C720" s="1" t="s">
        <v>1126</v>
      </c>
      <c r="D720" s="1" t="s">
        <v>1120</v>
      </c>
      <c r="E720" s="1" t="s">
        <v>1098</v>
      </c>
      <c r="F720" s="1" t="s">
        <v>1083</v>
      </c>
      <c r="G720" s="1" t="s">
        <v>1084</v>
      </c>
      <c r="H720">
        <v>28</v>
      </c>
      <c r="I720" t="s">
        <v>3074</v>
      </c>
      <c r="J720">
        <v>53210</v>
      </c>
      <c r="K720">
        <v>0</v>
      </c>
      <c r="L720" s="1" t="s">
        <v>1085</v>
      </c>
      <c r="M720" s="1" t="s">
        <v>1107</v>
      </c>
      <c r="N720" t="s">
        <v>1241</v>
      </c>
    </row>
    <row r="721" spans="1:14">
      <c r="A721" s="1" t="s">
        <v>3075</v>
      </c>
      <c r="B721" s="1" t="s">
        <v>3076</v>
      </c>
      <c r="C721" s="1" t="s">
        <v>1136</v>
      </c>
      <c r="D721" s="1" t="s">
        <v>1127</v>
      </c>
      <c r="E721" s="1" t="s">
        <v>1121</v>
      </c>
      <c r="F721" s="1" t="s">
        <v>1105</v>
      </c>
      <c r="G721" s="1" t="s">
        <v>1106</v>
      </c>
      <c r="H721">
        <v>27</v>
      </c>
      <c r="I721">
        <v>44236</v>
      </c>
      <c r="J721">
        <v>107114</v>
      </c>
      <c r="K721">
        <v>0.1</v>
      </c>
      <c r="L721" s="1" t="s">
        <v>1221</v>
      </c>
      <c r="M721" s="1" t="s">
        <v>1222</v>
      </c>
      <c r="N721" t="s">
        <v>1241</v>
      </c>
    </row>
    <row r="722" spans="1:14">
      <c r="A722" s="1" t="s">
        <v>3077</v>
      </c>
      <c r="B722" s="1" t="s">
        <v>3078</v>
      </c>
      <c r="C722" s="1" t="s">
        <v>1213</v>
      </c>
      <c r="D722" s="1" t="s">
        <v>1208</v>
      </c>
      <c r="E722" s="1" t="s">
        <v>1121</v>
      </c>
      <c r="F722" s="1" t="s">
        <v>1105</v>
      </c>
      <c r="G722" s="1" t="s">
        <v>1153</v>
      </c>
      <c r="H722">
        <v>34</v>
      </c>
      <c r="I722">
        <v>44904</v>
      </c>
      <c r="J722">
        <v>57483</v>
      </c>
      <c r="K722">
        <v>0</v>
      </c>
      <c r="L722" s="1" t="s">
        <v>1085</v>
      </c>
      <c r="M722" s="1" t="s">
        <v>1107</v>
      </c>
      <c r="N722" t="s">
        <v>1732</v>
      </c>
    </row>
    <row r="723" spans="1:14">
      <c r="A723" s="1" t="s">
        <v>3079</v>
      </c>
      <c r="B723" s="1" t="s">
        <v>3080</v>
      </c>
      <c r="C723" s="1" t="s">
        <v>1560</v>
      </c>
      <c r="D723" s="1" t="s">
        <v>1097</v>
      </c>
      <c r="E723" s="1" t="s">
        <v>1121</v>
      </c>
      <c r="F723" s="1" t="s">
        <v>1083</v>
      </c>
      <c r="G723" s="1" t="s">
        <v>1106</v>
      </c>
      <c r="H723">
        <v>53</v>
      </c>
      <c r="I723" t="s">
        <v>3081</v>
      </c>
      <c r="J723">
        <v>75226</v>
      </c>
      <c r="K723">
        <v>0</v>
      </c>
      <c r="L723" s="1" t="s">
        <v>1221</v>
      </c>
      <c r="M723" s="1" t="s">
        <v>1222</v>
      </c>
      <c r="N723" t="s">
        <v>1241</v>
      </c>
    </row>
    <row r="724" spans="1:14">
      <c r="A724" s="1" t="s">
        <v>3082</v>
      </c>
      <c r="B724" s="1" t="s">
        <v>3083</v>
      </c>
      <c r="C724" s="1" t="s">
        <v>1080</v>
      </c>
      <c r="D724" s="1" t="s">
        <v>1081</v>
      </c>
      <c r="E724" s="1" t="s">
        <v>1091</v>
      </c>
      <c r="F724" s="1" t="s">
        <v>1083</v>
      </c>
      <c r="G724" s="1" t="s">
        <v>1133</v>
      </c>
      <c r="H724">
        <v>50</v>
      </c>
      <c r="I724" t="s">
        <v>3084</v>
      </c>
      <c r="J724">
        <v>87727</v>
      </c>
      <c r="K724">
        <v>0</v>
      </c>
      <c r="L724" s="1" t="s">
        <v>1085</v>
      </c>
      <c r="M724" s="1" t="s">
        <v>1137</v>
      </c>
      <c r="N724" t="s">
        <v>1241</v>
      </c>
    </row>
    <row r="725" spans="1:14">
      <c r="A725" s="1" t="s">
        <v>3085</v>
      </c>
      <c r="B725" s="1" t="s">
        <v>3086</v>
      </c>
      <c r="C725" s="1" t="s">
        <v>1358</v>
      </c>
      <c r="D725" s="1" t="s">
        <v>1097</v>
      </c>
      <c r="E725" s="1" t="s">
        <v>1082</v>
      </c>
      <c r="F725" s="1" t="s">
        <v>1083</v>
      </c>
      <c r="G725" s="1" t="s">
        <v>1106</v>
      </c>
      <c r="H725">
        <v>51</v>
      </c>
      <c r="I725" t="s">
        <v>3087</v>
      </c>
      <c r="J725">
        <v>87897</v>
      </c>
      <c r="K725">
        <v>0</v>
      </c>
      <c r="L725" s="1" t="s">
        <v>1085</v>
      </c>
      <c r="M725" s="1" t="s">
        <v>1116</v>
      </c>
      <c r="N725" t="s">
        <v>1241</v>
      </c>
    </row>
    <row r="726" spans="1:14">
      <c r="A726" s="1" t="s">
        <v>3088</v>
      </c>
      <c r="B726" s="1" t="s">
        <v>3089</v>
      </c>
      <c r="C726" s="1" t="s">
        <v>1104</v>
      </c>
      <c r="D726" s="1" t="s">
        <v>1097</v>
      </c>
      <c r="E726" s="1" t="s">
        <v>1098</v>
      </c>
      <c r="F726" s="1" t="s">
        <v>1105</v>
      </c>
      <c r="G726" s="1" t="s">
        <v>1084</v>
      </c>
      <c r="H726">
        <v>27</v>
      </c>
      <c r="I726" t="s">
        <v>3090</v>
      </c>
      <c r="J726">
        <v>99612</v>
      </c>
      <c r="K726">
        <v>0</v>
      </c>
      <c r="L726" s="1" t="s">
        <v>1100</v>
      </c>
      <c r="M726" s="1" t="s">
        <v>1101</v>
      </c>
      <c r="N726" t="s">
        <v>1241</v>
      </c>
    </row>
    <row r="727" spans="1:14">
      <c r="A727" s="1" t="s">
        <v>3091</v>
      </c>
      <c r="B727" s="1" t="s">
        <v>3092</v>
      </c>
      <c r="C727" s="1" t="s">
        <v>1089</v>
      </c>
      <c r="D727" s="1" t="s">
        <v>1120</v>
      </c>
      <c r="E727" s="1" t="s">
        <v>1098</v>
      </c>
      <c r="F727" s="1" t="s">
        <v>1105</v>
      </c>
      <c r="G727" s="1" t="s">
        <v>1106</v>
      </c>
      <c r="H727">
        <v>33</v>
      </c>
      <c r="I727" t="s">
        <v>3093</v>
      </c>
      <c r="J727">
        <v>56938</v>
      </c>
      <c r="K727">
        <v>0</v>
      </c>
      <c r="L727" s="1" t="s">
        <v>1221</v>
      </c>
      <c r="M727" s="1" t="s">
        <v>1298</v>
      </c>
      <c r="N727" t="s">
        <v>1241</v>
      </c>
    </row>
    <row r="728" spans="1:14">
      <c r="A728" s="1" t="s">
        <v>3094</v>
      </c>
      <c r="B728" s="1" t="s">
        <v>3095</v>
      </c>
      <c r="C728" s="1" t="s">
        <v>1364</v>
      </c>
      <c r="D728" s="1" t="s">
        <v>1208</v>
      </c>
      <c r="E728" s="1" t="s">
        <v>1091</v>
      </c>
      <c r="F728" s="1" t="s">
        <v>1083</v>
      </c>
      <c r="G728" s="1" t="s">
        <v>1133</v>
      </c>
      <c r="H728">
        <v>46</v>
      </c>
      <c r="I728" t="s">
        <v>3096</v>
      </c>
      <c r="J728">
        <v>92247</v>
      </c>
      <c r="K728">
        <v>0</v>
      </c>
      <c r="L728" s="1" t="s">
        <v>1085</v>
      </c>
      <c r="M728" s="1" t="s">
        <v>1137</v>
      </c>
      <c r="N728" t="s">
        <v>1241</v>
      </c>
    </row>
    <row r="729" spans="1:14">
      <c r="A729" s="1" t="s">
        <v>3097</v>
      </c>
      <c r="B729" s="1" t="s">
        <v>3098</v>
      </c>
      <c r="C729" s="1" t="s">
        <v>1160</v>
      </c>
      <c r="D729" s="1" t="s">
        <v>1208</v>
      </c>
      <c r="E729" s="1" t="s">
        <v>1091</v>
      </c>
      <c r="F729" s="1" t="s">
        <v>1105</v>
      </c>
      <c r="G729" s="1" t="s">
        <v>1084</v>
      </c>
      <c r="H729">
        <v>51</v>
      </c>
      <c r="I729" t="s">
        <v>3099</v>
      </c>
      <c r="J729">
        <v>193672</v>
      </c>
      <c r="K729">
        <v>0.36</v>
      </c>
      <c r="L729" s="1" t="s">
        <v>1085</v>
      </c>
      <c r="M729" s="1" t="s">
        <v>1086</v>
      </c>
      <c r="N729" t="s">
        <v>1241</v>
      </c>
    </row>
    <row r="730" spans="1:14">
      <c r="A730" s="1" t="s">
        <v>3100</v>
      </c>
      <c r="B730" s="1" t="s">
        <v>3101</v>
      </c>
      <c r="C730" s="1" t="s">
        <v>1140</v>
      </c>
      <c r="D730" s="1" t="s">
        <v>1097</v>
      </c>
      <c r="E730" s="1" t="s">
        <v>1082</v>
      </c>
      <c r="F730" s="1" t="s">
        <v>1083</v>
      </c>
      <c r="G730" s="1" t="s">
        <v>1084</v>
      </c>
      <c r="H730">
        <v>31</v>
      </c>
      <c r="I730">
        <v>43261</v>
      </c>
      <c r="J730">
        <v>46098</v>
      </c>
      <c r="K730">
        <v>0</v>
      </c>
      <c r="L730" s="1" t="s">
        <v>1100</v>
      </c>
      <c r="M730" s="1" t="s">
        <v>1101</v>
      </c>
      <c r="N730" t="s">
        <v>1241</v>
      </c>
    </row>
    <row r="731" spans="1:14">
      <c r="A731" s="1" t="s">
        <v>3102</v>
      </c>
      <c r="B731" s="1" t="s">
        <v>3103</v>
      </c>
      <c r="C731" s="1" t="s">
        <v>1160</v>
      </c>
      <c r="D731" s="1" t="s">
        <v>1090</v>
      </c>
      <c r="E731" s="1" t="s">
        <v>1082</v>
      </c>
      <c r="F731" s="1" t="s">
        <v>1083</v>
      </c>
      <c r="G731" s="1" t="s">
        <v>1133</v>
      </c>
      <c r="H731">
        <v>45</v>
      </c>
      <c r="I731" t="s">
        <v>3104</v>
      </c>
      <c r="J731">
        <v>239980</v>
      </c>
      <c r="K731">
        <v>0.31</v>
      </c>
      <c r="L731" s="1" t="s">
        <v>1085</v>
      </c>
      <c r="M731" s="1" t="s">
        <v>1112</v>
      </c>
      <c r="N731" t="s">
        <v>1241</v>
      </c>
    </row>
    <row r="732" spans="1:14">
      <c r="A732" s="1" t="s">
        <v>3105</v>
      </c>
      <c r="B732" s="1" t="s">
        <v>3106</v>
      </c>
      <c r="C732" s="1" t="s">
        <v>1136</v>
      </c>
      <c r="D732" s="1" t="s">
        <v>1127</v>
      </c>
      <c r="E732" s="1" t="s">
        <v>1091</v>
      </c>
      <c r="F732" s="1" t="s">
        <v>1083</v>
      </c>
      <c r="G732" s="1" t="s">
        <v>1084</v>
      </c>
      <c r="H732">
        <v>38</v>
      </c>
      <c r="I732" t="s">
        <v>3107</v>
      </c>
      <c r="J732">
        <v>121546</v>
      </c>
      <c r="K732">
        <v>0.1</v>
      </c>
      <c r="L732" s="1" t="s">
        <v>1100</v>
      </c>
      <c r="M732" s="1" t="s">
        <v>1101</v>
      </c>
      <c r="N732" t="s">
        <v>1241</v>
      </c>
    </row>
    <row r="733" spans="1:14">
      <c r="A733" s="1" t="s">
        <v>3108</v>
      </c>
      <c r="B733" s="1" t="s">
        <v>3109</v>
      </c>
      <c r="C733" s="1" t="s">
        <v>1136</v>
      </c>
      <c r="D733" s="1" t="s">
        <v>1120</v>
      </c>
      <c r="E733" s="1" t="s">
        <v>1121</v>
      </c>
      <c r="F733" s="1" t="s">
        <v>1105</v>
      </c>
      <c r="G733" s="1" t="s">
        <v>1106</v>
      </c>
      <c r="H733">
        <v>42</v>
      </c>
      <c r="I733" t="s">
        <v>3110</v>
      </c>
      <c r="J733">
        <v>128714</v>
      </c>
      <c r="K733">
        <v>7.0000000000000007E-2</v>
      </c>
      <c r="L733" s="1" t="s">
        <v>1221</v>
      </c>
      <c r="M733" s="1" t="s">
        <v>1298</v>
      </c>
      <c r="N733" t="s">
        <v>1241</v>
      </c>
    </row>
    <row r="734" spans="1:14">
      <c r="A734" s="1" t="s">
        <v>3111</v>
      </c>
      <c r="B734" s="1" t="s">
        <v>3112</v>
      </c>
      <c r="C734" s="1" t="s">
        <v>1594</v>
      </c>
      <c r="D734" s="1" t="s">
        <v>1081</v>
      </c>
      <c r="E734" s="1" t="s">
        <v>1082</v>
      </c>
      <c r="F734" s="1" t="s">
        <v>1083</v>
      </c>
      <c r="G734" s="1" t="s">
        <v>1106</v>
      </c>
      <c r="H734">
        <v>43</v>
      </c>
      <c r="I734" t="s">
        <v>3113</v>
      </c>
      <c r="J734">
        <v>91537</v>
      </c>
      <c r="K734">
        <v>0</v>
      </c>
      <c r="L734" s="1" t="s">
        <v>1085</v>
      </c>
      <c r="M734" s="1" t="s">
        <v>1093</v>
      </c>
      <c r="N734" t="s">
        <v>1241</v>
      </c>
    </row>
    <row r="735" spans="1:14">
      <c r="A735" s="1" t="s">
        <v>3114</v>
      </c>
      <c r="B735" s="1" t="s">
        <v>3115</v>
      </c>
      <c r="C735" s="1" t="s">
        <v>1110</v>
      </c>
      <c r="D735" s="1" t="s">
        <v>1097</v>
      </c>
      <c r="E735" s="1" t="s">
        <v>1091</v>
      </c>
      <c r="F735" s="1" t="s">
        <v>1083</v>
      </c>
      <c r="G735" s="1" t="s">
        <v>1133</v>
      </c>
      <c r="H735">
        <v>28</v>
      </c>
      <c r="I735">
        <v>44017</v>
      </c>
      <c r="J735">
        <v>178300</v>
      </c>
      <c r="K735">
        <v>0.24</v>
      </c>
      <c r="L735" s="1" t="s">
        <v>1085</v>
      </c>
      <c r="M735" s="1" t="s">
        <v>1112</v>
      </c>
      <c r="N735" t="s">
        <v>3116</v>
      </c>
    </row>
    <row r="736" spans="1:14">
      <c r="A736" s="1" t="s">
        <v>3117</v>
      </c>
      <c r="B736" s="1" t="s">
        <v>3118</v>
      </c>
      <c r="C736" s="1" t="s">
        <v>1126</v>
      </c>
      <c r="D736" s="1" t="s">
        <v>1127</v>
      </c>
      <c r="E736" s="1" t="s">
        <v>1098</v>
      </c>
      <c r="F736" s="1" t="s">
        <v>1105</v>
      </c>
      <c r="G736" s="1" t="s">
        <v>1084</v>
      </c>
      <c r="H736">
        <v>57</v>
      </c>
      <c r="I736" t="s">
        <v>2551</v>
      </c>
      <c r="J736">
        <v>50260</v>
      </c>
      <c r="K736">
        <v>0</v>
      </c>
      <c r="L736" s="1" t="s">
        <v>1100</v>
      </c>
      <c r="M736" s="1" t="s">
        <v>1129</v>
      </c>
      <c r="N736" t="s">
        <v>1241</v>
      </c>
    </row>
    <row r="737" spans="1:14">
      <c r="A737" s="1" t="s">
        <v>3119</v>
      </c>
      <c r="B737" s="1" t="s">
        <v>3120</v>
      </c>
      <c r="C737" s="1" t="s">
        <v>1110</v>
      </c>
      <c r="D737" s="1" t="s">
        <v>1081</v>
      </c>
      <c r="E737" s="1" t="s">
        <v>1098</v>
      </c>
      <c r="F737" s="1" t="s">
        <v>1083</v>
      </c>
      <c r="G737" s="1" t="s">
        <v>1084</v>
      </c>
      <c r="H737">
        <v>33</v>
      </c>
      <c r="I737">
        <v>42529</v>
      </c>
      <c r="J737">
        <v>161800</v>
      </c>
      <c r="K737">
        <v>0.19</v>
      </c>
      <c r="L737" s="1" t="s">
        <v>1100</v>
      </c>
      <c r="M737" s="1" t="s">
        <v>1123</v>
      </c>
      <c r="N737" t="s">
        <v>1241</v>
      </c>
    </row>
    <row r="738" spans="1:14">
      <c r="A738" s="1" t="s">
        <v>3121</v>
      </c>
      <c r="B738" s="1" t="s">
        <v>3122</v>
      </c>
      <c r="C738" s="1" t="s">
        <v>1152</v>
      </c>
      <c r="D738" s="1" t="s">
        <v>1127</v>
      </c>
      <c r="E738" s="1" t="s">
        <v>1091</v>
      </c>
      <c r="F738" s="1" t="s">
        <v>1083</v>
      </c>
      <c r="G738" s="1" t="s">
        <v>1084</v>
      </c>
      <c r="H738">
        <v>32</v>
      </c>
      <c r="I738">
        <v>44084</v>
      </c>
      <c r="J738">
        <v>157616</v>
      </c>
      <c r="K738">
        <v>0.1</v>
      </c>
      <c r="L738" s="1" t="s">
        <v>1100</v>
      </c>
      <c r="M738" s="1" t="s">
        <v>1101</v>
      </c>
      <c r="N738" t="s">
        <v>1241</v>
      </c>
    </row>
    <row r="739" spans="1:14">
      <c r="A739" s="1" t="s">
        <v>3123</v>
      </c>
      <c r="B739" s="1" t="s">
        <v>3124</v>
      </c>
      <c r="C739" s="1" t="s">
        <v>1601</v>
      </c>
      <c r="D739" s="1" t="s">
        <v>1081</v>
      </c>
      <c r="E739" s="1" t="s">
        <v>1091</v>
      </c>
      <c r="F739" s="1" t="s">
        <v>1083</v>
      </c>
      <c r="G739" s="1" t="s">
        <v>1084</v>
      </c>
      <c r="H739">
        <v>45</v>
      </c>
      <c r="I739" t="s">
        <v>3125</v>
      </c>
      <c r="J739">
        <v>82697</v>
      </c>
      <c r="K739">
        <v>0</v>
      </c>
      <c r="L739" s="1" t="s">
        <v>1100</v>
      </c>
      <c r="M739" s="1" t="s">
        <v>1188</v>
      </c>
      <c r="N739" t="s">
        <v>1241</v>
      </c>
    </row>
    <row r="740" spans="1:14">
      <c r="A740" s="1" t="s">
        <v>3126</v>
      </c>
      <c r="B740" s="1" t="s">
        <v>3127</v>
      </c>
      <c r="C740" s="1" t="s">
        <v>1152</v>
      </c>
      <c r="D740" s="1" t="s">
        <v>1097</v>
      </c>
      <c r="E740" s="1" t="s">
        <v>1091</v>
      </c>
      <c r="F740" s="1" t="s">
        <v>1105</v>
      </c>
      <c r="G740" s="1" t="s">
        <v>1084</v>
      </c>
      <c r="H740">
        <v>33</v>
      </c>
      <c r="I740" t="s">
        <v>3128</v>
      </c>
      <c r="J740">
        <v>124404</v>
      </c>
      <c r="K740">
        <v>0.12</v>
      </c>
      <c r="L740" s="1" t="s">
        <v>1100</v>
      </c>
      <c r="M740" s="1" t="s">
        <v>1123</v>
      </c>
      <c r="N740" t="s">
        <v>1241</v>
      </c>
    </row>
    <row r="741" spans="1:14">
      <c r="A741" s="1" t="s">
        <v>3129</v>
      </c>
      <c r="B741" s="1" t="s">
        <v>3130</v>
      </c>
      <c r="C741" s="1" t="s">
        <v>1152</v>
      </c>
      <c r="D741" s="1" t="s">
        <v>1097</v>
      </c>
      <c r="E741" s="1" t="s">
        <v>1121</v>
      </c>
      <c r="F741" s="1" t="s">
        <v>1083</v>
      </c>
      <c r="G741" s="1" t="s">
        <v>1084</v>
      </c>
      <c r="H741">
        <v>43</v>
      </c>
      <c r="I741" t="s">
        <v>3131</v>
      </c>
      <c r="J741">
        <v>158750</v>
      </c>
      <c r="K741">
        <v>0.12</v>
      </c>
      <c r="L741" s="1" t="s">
        <v>1100</v>
      </c>
      <c r="M741" s="1" t="s">
        <v>1123</v>
      </c>
      <c r="N741" t="s">
        <v>1241</v>
      </c>
    </row>
    <row r="742" spans="1:14">
      <c r="A742" s="1" t="s">
        <v>3132</v>
      </c>
      <c r="B742" s="1" t="s">
        <v>3133</v>
      </c>
      <c r="C742" s="1" t="s">
        <v>1126</v>
      </c>
      <c r="D742" s="1" t="s">
        <v>1090</v>
      </c>
      <c r="E742" s="1" t="s">
        <v>1082</v>
      </c>
      <c r="F742" s="1" t="s">
        <v>1105</v>
      </c>
      <c r="G742" s="1" t="s">
        <v>1133</v>
      </c>
      <c r="H742">
        <v>62</v>
      </c>
      <c r="I742">
        <v>42227</v>
      </c>
      <c r="J742">
        <v>69057</v>
      </c>
      <c r="K742">
        <v>0</v>
      </c>
      <c r="L742" s="1" t="s">
        <v>1085</v>
      </c>
      <c r="M742" s="1" t="s">
        <v>1093</v>
      </c>
      <c r="N742" t="s">
        <v>1241</v>
      </c>
    </row>
    <row r="743" spans="1:14">
      <c r="A743" s="1" t="s">
        <v>3134</v>
      </c>
      <c r="B743" s="1" t="s">
        <v>3135</v>
      </c>
      <c r="C743" s="1" t="s">
        <v>1152</v>
      </c>
      <c r="D743" s="1" t="s">
        <v>1148</v>
      </c>
      <c r="E743" s="1" t="s">
        <v>1121</v>
      </c>
      <c r="F743" s="1" t="s">
        <v>1105</v>
      </c>
      <c r="G743" s="1" t="s">
        <v>1106</v>
      </c>
      <c r="H743">
        <v>36</v>
      </c>
      <c r="I743">
        <v>43678</v>
      </c>
      <c r="J743">
        <v>157976</v>
      </c>
      <c r="K743">
        <v>0.1</v>
      </c>
      <c r="L743" s="1" t="s">
        <v>1221</v>
      </c>
      <c r="M743" s="1" t="s">
        <v>1222</v>
      </c>
      <c r="N743" t="s">
        <v>1241</v>
      </c>
    </row>
    <row r="744" spans="1:14">
      <c r="A744" s="1" t="s">
        <v>3136</v>
      </c>
      <c r="B744" s="1" t="s">
        <v>3137</v>
      </c>
      <c r="C744" s="1" t="s">
        <v>1089</v>
      </c>
      <c r="D744" s="1" t="s">
        <v>1090</v>
      </c>
      <c r="E744" s="1" t="s">
        <v>1091</v>
      </c>
      <c r="F744" s="1" t="s">
        <v>1105</v>
      </c>
      <c r="G744" s="1" t="s">
        <v>1106</v>
      </c>
      <c r="H744">
        <v>36</v>
      </c>
      <c r="I744" t="s">
        <v>3138</v>
      </c>
      <c r="J744">
        <v>54355</v>
      </c>
      <c r="K744">
        <v>0</v>
      </c>
      <c r="L744" s="1" t="s">
        <v>1085</v>
      </c>
      <c r="M744" s="1" t="s">
        <v>1116</v>
      </c>
      <c r="N744" t="s">
        <v>1241</v>
      </c>
    </row>
    <row r="745" spans="1:14">
      <c r="A745" s="1" t="s">
        <v>3139</v>
      </c>
      <c r="B745" s="1" t="s">
        <v>3140</v>
      </c>
      <c r="C745" s="1" t="s">
        <v>1446</v>
      </c>
      <c r="D745" s="1" t="s">
        <v>1081</v>
      </c>
      <c r="E745" s="1" t="s">
        <v>1082</v>
      </c>
      <c r="F745" s="1" t="s">
        <v>1105</v>
      </c>
      <c r="G745" s="1" t="s">
        <v>1084</v>
      </c>
      <c r="H745">
        <v>31</v>
      </c>
      <c r="I745">
        <v>44811</v>
      </c>
      <c r="J745">
        <v>72475</v>
      </c>
      <c r="K745">
        <v>0</v>
      </c>
      <c r="L745" s="1" t="s">
        <v>1085</v>
      </c>
      <c r="M745" s="1" t="s">
        <v>1116</v>
      </c>
      <c r="N745" t="s">
        <v>1241</v>
      </c>
    </row>
    <row r="746" spans="1:14">
      <c r="A746" s="1" t="s">
        <v>3141</v>
      </c>
      <c r="B746" s="1" t="s">
        <v>3142</v>
      </c>
      <c r="C746" s="1" t="s">
        <v>1412</v>
      </c>
      <c r="D746" s="1" t="s">
        <v>1081</v>
      </c>
      <c r="E746" s="1" t="s">
        <v>1082</v>
      </c>
      <c r="F746" s="1" t="s">
        <v>1083</v>
      </c>
      <c r="G746" s="1" t="s">
        <v>1084</v>
      </c>
      <c r="H746">
        <v>62</v>
      </c>
      <c r="I746" t="s">
        <v>3143</v>
      </c>
      <c r="J746">
        <v>80132</v>
      </c>
      <c r="K746">
        <v>0.14000000000000001</v>
      </c>
      <c r="L746" s="1" t="s">
        <v>1100</v>
      </c>
      <c r="M746" s="1" t="s">
        <v>1123</v>
      </c>
      <c r="N746" t="s">
        <v>1241</v>
      </c>
    </row>
    <row r="747" spans="1:14">
      <c r="A747" s="1" t="s">
        <v>3144</v>
      </c>
      <c r="B747" s="1" t="s">
        <v>3145</v>
      </c>
      <c r="C747" s="1" t="s">
        <v>1089</v>
      </c>
      <c r="D747" s="1" t="s">
        <v>1120</v>
      </c>
      <c r="E747" s="1" t="s">
        <v>1098</v>
      </c>
      <c r="F747" s="1" t="s">
        <v>1083</v>
      </c>
      <c r="G747" s="1" t="s">
        <v>1084</v>
      </c>
      <c r="H747">
        <v>30</v>
      </c>
      <c r="I747" t="s">
        <v>3146</v>
      </c>
      <c r="J747">
        <v>52292</v>
      </c>
      <c r="K747">
        <v>0</v>
      </c>
      <c r="L747" s="1" t="s">
        <v>1100</v>
      </c>
      <c r="M747" s="1" t="s">
        <v>1129</v>
      </c>
      <c r="N747" t="s">
        <v>1241</v>
      </c>
    </row>
    <row r="748" spans="1:14">
      <c r="A748" s="1" t="s">
        <v>3147</v>
      </c>
      <c r="B748" s="1" t="s">
        <v>3148</v>
      </c>
      <c r="C748" s="1" t="s">
        <v>1275</v>
      </c>
      <c r="D748" s="1" t="s">
        <v>1097</v>
      </c>
      <c r="E748" s="1" t="s">
        <v>1121</v>
      </c>
      <c r="F748" s="1" t="s">
        <v>1105</v>
      </c>
      <c r="G748" s="1" t="s">
        <v>1133</v>
      </c>
      <c r="H748">
        <v>46</v>
      </c>
      <c r="I748">
        <v>44774</v>
      </c>
      <c r="J748">
        <v>69110</v>
      </c>
      <c r="K748">
        <v>0</v>
      </c>
      <c r="L748" s="1" t="s">
        <v>1085</v>
      </c>
      <c r="M748" s="1" t="s">
        <v>1107</v>
      </c>
      <c r="N748" t="s">
        <v>1241</v>
      </c>
    </row>
    <row r="749" spans="1:14">
      <c r="A749" s="1" t="s">
        <v>3149</v>
      </c>
      <c r="B749" s="1" t="s">
        <v>3150</v>
      </c>
      <c r="C749" s="1" t="s">
        <v>1173</v>
      </c>
      <c r="D749" s="1" t="s">
        <v>1097</v>
      </c>
      <c r="E749" s="1" t="s">
        <v>1082</v>
      </c>
      <c r="F749" s="1" t="s">
        <v>1105</v>
      </c>
      <c r="G749" s="1" t="s">
        <v>1106</v>
      </c>
      <c r="H749">
        <v>38</v>
      </c>
      <c r="I749" t="s">
        <v>3151</v>
      </c>
      <c r="J749">
        <v>68676</v>
      </c>
      <c r="K749">
        <v>0</v>
      </c>
      <c r="L749" s="1" t="s">
        <v>1221</v>
      </c>
      <c r="M749" s="1" t="s">
        <v>1298</v>
      </c>
      <c r="N749" t="s">
        <v>1241</v>
      </c>
    </row>
    <row r="750" spans="1:14">
      <c r="A750" s="1" t="s">
        <v>3152</v>
      </c>
      <c r="B750" s="1" t="s">
        <v>3153</v>
      </c>
      <c r="C750" s="1" t="s">
        <v>1216</v>
      </c>
      <c r="D750" s="1" t="s">
        <v>1081</v>
      </c>
      <c r="E750" s="1" t="s">
        <v>1082</v>
      </c>
      <c r="F750" s="1" t="s">
        <v>1105</v>
      </c>
      <c r="G750" s="1" t="s">
        <v>1133</v>
      </c>
      <c r="H750">
        <v>58</v>
      </c>
      <c r="I750" t="s">
        <v>3154</v>
      </c>
      <c r="J750">
        <v>86094</v>
      </c>
      <c r="K750">
        <v>0</v>
      </c>
      <c r="L750" s="1" t="s">
        <v>1085</v>
      </c>
      <c r="M750" s="1" t="s">
        <v>1086</v>
      </c>
      <c r="N750" t="s">
        <v>1241</v>
      </c>
    </row>
    <row r="751" spans="1:14">
      <c r="A751" s="1" t="s">
        <v>3155</v>
      </c>
      <c r="B751" s="1" t="s">
        <v>3156</v>
      </c>
      <c r="C751" s="1" t="s">
        <v>1285</v>
      </c>
      <c r="D751" s="1" t="s">
        <v>1097</v>
      </c>
      <c r="E751" s="1" t="s">
        <v>1121</v>
      </c>
      <c r="F751" s="1" t="s">
        <v>1105</v>
      </c>
      <c r="G751" s="1" t="s">
        <v>1133</v>
      </c>
      <c r="H751">
        <v>27</v>
      </c>
      <c r="I751">
        <v>44717</v>
      </c>
      <c r="J751">
        <v>77607</v>
      </c>
      <c r="K751">
        <v>0</v>
      </c>
      <c r="L751" s="1" t="s">
        <v>1085</v>
      </c>
      <c r="M751" s="1" t="s">
        <v>1137</v>
      </c>
      <c r="N751" t="s">
        <v>1241</v>
      </c>
    </row>
    <row r="752" spans="1:14">
      <c r="A752" s="1" t="s">
        <v>3157</v>
      </c>
      <c r="B752" s="1" t="s">
        <v>3158</v>
      </c>
      <c r="C752" s="1" t="s">
        <v>1152</v>
      </c>
      <c r="D752" s="1" t="s">
        <v>1208</v>
      </c>
      <c r="E752" s="1" t="s">
        <v>1121</v>
      </c>
      <c r="F752" s="1" t="s">
        <v>1083</v>
      </c>
      <c r="G752" s="1" t="s">
        <v>1106</v>
      </c>
      <c r="H752">
        <v>61</v>
      </c>
      <c r="I752" t="s">
        <v>3159</v>
      </c>
      <c r="J752">
        <v>157672</v>
      </c>
      <c r="K752">
        <v>0.11</v>
      </c>
      <c r="L752" s="1" t="s">
        <v>1085</v>
      </c>
      <c r="M752" s="1" t="s">
        <v>1137</v>
      </c>
      <c r="N752" t="s">
        <v>1241</v>
      </c>
    </row>
    <row r="753" spans="1:14">
      <c r="A753" s="1" t="s">
        <v>3160</v>
      </c>
      <c r="B753" s="1" t="s">
        <v>3161</v>
      </c>
      <c r="C753" s="1" t="s">
        <v>1089</v>
      </c>
      <c r="D753" s="1" t="s">
        <v>1127</v>
      </c>
      <c r="E753" s="1" t="s">
        <v>1121</v>
      </c>
      <c r="F753" s="1" t="s">
        <v>1083</v>
      </c>
      <c r="G753" s="1" t="s">
        <v>1084</v>
      </c>
      <c r="H753">
        <v>64</v>
      </c>
      <c r="I753" t="s">
        <v>3162</v>
      </c>
      <c r="J753">
        <v>43785</v>
      </c>
      <c r="K753">
        <v>0</v>
      </c>
      <c r="L753" s="1" t="s">
        <v>1100</v>
      </c>
      <c r="M753" s="1" t="s">
        <v>1123</v>
      </c>
      <c r="N753" t="s">
        <v>3163</v>
      </c>
    </row>
    <row r="754" spans="1:14">
      <c r="A754" s="1" t="s">
        <v>3164</v>
      </c>
      <c r="B754" s="1" t="s">
        <v>3165</v>
      </c>
      <c r="C754" s="1" t="s">
        <v>1132</v>
      </c>
      <c r="D754" s="1" t="s">
        <v>1097</v>
      </c>
      <c r="E754" s="1" t="s">
        <v>1091</v>
      </c>
      <c r="F754" s="1" t="s">
        <v>1083</v>
      </c>
      <c r="G754" s="1" t="s">
        <v>1133</v>
      </c>
      <c r="H754">
        <v>65</v>
      </c>
      <c r="I754" t="s">
        <v>3166</v>
      </c>
      <c r="J754">
        <v>75439</v>
      </c>
      <c r="K754">
        <v>0</v>
      </c>
      <c r="L754" s="1" t="s">
        <v>1085</v>
      </c>
      <c r="M754" s="1" t="s">
        <v>1107</v>
      </c>
      <c r="N754" t="s">
        <v>1241</v>
      </c>
    </row>
    <row r="755" spans="1:14">
      <c r="A755" s="1" t="s">
        <v>3167</v>
      </c>
      <c r="B755" s="1" t="s">
        <v>3168</v>
      </c>
      <c r="C755" s="1" t="s">
        <v>1152</v>
      </c>
      <c r="D755" s="1" t="s">
        <v>1097</v>
      </c>
      <c r="E755" s="1" t="s">
        <v>1082</v>
      </c>
      <c r="F755" s="1" t="s">
        <v>1105</v>
      </c>
      <c r="G755" s="1" t="s">
        <v>1133</v>
      </c>
      <c r="H755">
        <v>37</v>
      </c>
      <c r="I755" t="s">
        <v>3169</v>
      </c>
      <c r="J755">
        <v>139987</v>
      </c>
      <c r="K755">
        <v>0.13</v>
      </c>
      <c r="L755" s="1" t="s">
        <v>1085</v>
      </c>
      <c r="M755" s="1" t="s">
        <v>1107</v>
      </c>
      <c r="N755" t="s">
        <v>1241</v>
      </c>
    </row>
    <row r="756" spans="1:14">
      <c r="A756" s="1" t="s">
        <v>3170</v>
      </c>
      <c r="B756" s="1" t="s">
        <v>3171</v>
      </c>
      <c r="C756" s="1" t="s">
        <v>1160</v>
      </c>
      <c r="D756" s="1" t="s">
        <v>1120</v>
      </c>
      <c r="E756" s="1" t="s">
        <v>1121</v>
      </c>
      <c r="F756" s="1" t="s">
        <v>1083</v>
      </c>
      <c r="G756" s="1" t="s">
        <v>1106</v>
      </c>
      <c r="H756">
        <v>54</v>
      </c>
      <c r="I756">
        <v>34433</v>
      </c>
      <c r="J756">
        <v>257489</v>
      </c>
      <c r="K756">
        <v>0.34</v>
      </c>
      <c r="L756" s="1" t="s">
        <v>1221</v>
      </c>
      <c r="M756" s="1" t="s">
        <v>1222</v>
      </c>
      <c r="N756" t="s">
        <v>1241</v>
      </c>
    </row>
    <row r="757" spans="1:14">
      <c r="A757" s="1" t="s">
        <v>3172</v>
      </c>
      <c r="B757" s="1" t="s">
        <v>2895</v>
      </c>
      <c r="C757" s="1" t="s">
        <v>1132</v>
      </c>
      <c r="D757" s="1" t="s">
        <v>1097</v>
      </c>
      <c r="E757" s="1" t="s">
        <v>1121</v>
      </c>
      <c r="F757" s="1" t="s">
        <v>1083</v>
      </c>
      <c r="G757" s="1" t="s">
        <v>1084</v>
      </c>
      <c r="H757">
        <v>54</v>
      </c>
      <c r="I757" t="s">
        <v>3173</v>
      </c>
      <c r="J757">
        <v>91639</v>
      </c>
      <c r="K757">
        <v>0</v>
      </c>
      <c r="L757" s="1" t="s">
        <v>1085</v>
      </c>
      <c r="M757" s="1" t="s">
        <v>1107</v>
      </c>
      <c r="N757" t="s">
        <v>1241</v>
      </c>
    </row>
    <row r="758" spans="1:14">
      <c r="A758" s="1" t="s">
        <v>3174</v>
      </c>
      <c r="B758" s="1" t="s">
        <v>3175</v>
      </c>
      <c r="C758" s="1" t="s">
        <v>1126</v>
      </c>
      <c r="D758" s="1" t="s">
        <v>1127</v>
      </c>
      <c r="E758" s="1" t="s">
        <v>1121</v>
      </c>
      <c r="F758" s="1" t="s">
        <v>1105</v>
      </c>
      <c r="G758" s="1" t="s">
        <v>1084</v>
      </c>
      <c r="H758">
        <v>26</v>
      </c>
      <c r="I758" t="s">
        <v>3176</v>
      </c>
      <c r="J758">
        <v>66563</v>
      </c>
      <c r="K758">
        <v>0</v>
      </c>
      <c r="L758" s="1" t="s">
        <v>1100</v>
      </c>
      <c r="M758" s="1" t="s">
        <v>1129</v>
      </c>
      <c r="N758" t="s">
        <v>3116</v>
      </c>
    </row>
    <row r="759" spans="1:14">
      <c r="A759" s="1" t="s">
        <v>3177</v>
      </c>
      <c r="B759" s="1" t="s">
        <v>3178</v>
      </c>
      <c r="C759" s="1" t="s">
        <v>1160</v>
      </c>
      <c r="D759" s="1" t="s">
        <v>1148</v>
      </c>
      <c r="E759" s="1" t="s">
        <v>1091</v>
      </c>
      <c r="F759" s="1" t="s">
        <v>1105</v>
      </c>
      <c r="G759" s="1" t="s">
        <v>1106</v>
      </c>
      <c r="H759">
        <v>29</v>
      </c>
      <c r="I759">
        <v>44471</v>
      </c>
      <c r="J759">
        <v>235047</v>
      </c>
      <c r="K759">
        <v>0.36</v>
      </c>
      <c r="L759" s="1" t="s">
        <v>1085</v>
      </c>
      <c r="M759" s="1" t="s">
        <v>1116</v>
      </c>
      <c r="N759" t="s">
        <v>1241</v>
      </c>
    </row>
    <row r="760" spans="1:14">
      <c r="A760" s="1" t="s">
        <v>3179</v>
      </c>
      <c r="B760" s="1" t="s">
        <v>3180</v>
      </c>
      <c r="C760" s="1" t="s">
        <v>1160</v>
      </c>
      <c r="D760" s="1" t="s">
        <v>1208</v>
      </c>
      <c r="E760" s="1" t="s">
        <v>1091</v>
      </c>
      <c r="F760" s="1" t="s">
        <v>1083</v>
      </c>
      <c r="G760" s="1" t="s">
        <v>1133</v>
      </c>
      <c r="H760">
        <v>37</v>
      </c>
      <c r="I760">
        <v>42279</v>
      </c>
      <c r="J760">
        <v>214782</v>
      </c>
      <c r="K760">
        <v>0.32</v>
      </c>
      <c r="L760" s="1" t="s">
        <v>1085</v>
      </c>
      <c r="M760" s="1" t="s">
        <v>1093</v>
      </c>
      <c r="N760" t="s">
        <v>1241</v>
      </c>
    </row>
    <row r="761" spans="1:14">
      <c r="A761" s="1" t="s">
        <v>3181</v>
      </c>
      <c r="B761" s="1" t="s">
        <v>3182</v>
      </c>
      <c r="C761" s="1" t="s">
        <v>1110</v>
      </c>
      <c r="D761" s="1" t="s">
        <v>1120</v>
      </c>
      <c r="E761" s="1" t="s">
        <v>1098</v>
      </c>
      <c r="F761" s="1" t="s">
        <v>1105</v>
      </c>
      <c r="G761" s="1" t="s">
        <v>1153</v>
      </c>
      <c r="H761">
        <v>37</v>
      </c>
      <c r="I761">
        <v>40548</v>
      </c>
      <c r="J761">
        <v>180544</v>
      </c>
      <c r="K761">
        <v>0.27</v>
      </c>
      <c r="L761" s="1" t="s">
        <v>1085</v>
      </c>
      <c r="M761" s="1" t="s">
        <v>1093</v>
      </c>
      <c r="N761" t="s">
        <v>1241</v>
      </c>
    </row>
    <row r="762" spans="1:14">
      <c r="A762" s="1" t="s">
        <v>3183</v>
      </c>
      <c r="B762" s="1" t="s">
        <v>3184</v>
      </c>
      <c r="C762" s="1" t="s">
        <v>1152</v>
      </c>
      <c r="D762" s="1" t="s">
        <v>1148</v>
      </c>
      <c r="E762" s="1" t="s">
        <v>1098</v>
      </c>
      <c r="F762" s="1" t="s">
        <v>1083</v>
      </c>
      <c r="G762" s="1" t="s">
        <v>1106</v>
      </c>
      <c r="H762">
        <v>62</v>
      </c>
      <c r="I762" t="s">
        <v>3185</v>
      </c>
      <c r="J762">
        <v>158614</v>
      </c>
      <c r="K762">
        <v>0.14000000000000001</v>
      </c>
      <c r="L762" s="1" t="s">
        <v>1221</v>
      </c>
      <c r="M762" s="1" t="s">
        <v>1222</v>
      </c>
      <c r="N762" t="s">
        <v>1241</v>
      </c>
    </row>
    <row r="763" spans="1:14">
      <c r="A763" s="1" t="s">
        <v>3186</v>
      </c>
      <c r="B763" s="1" t="s">
        <v>3187</v>
      </c>
      <c r="C763" s="1" t="s">
        <v>1601</v>
      </c>
      <c r="D763" s="1" t="s">
        <v>1081</v>
      </c>
      <c r="E763" s="1" t="s">
        <v>1091</v>
      </c>
      <c r="F763" s="1" t="s">
        <v>1083</v>
      </c>
      <c r="G763" s="1" t="s">
        <v>1084</v>
      </c>
      <c r="H763">
        <v>53</v>
      </c>
      <c r="I763" t="s">
        <v>3188</v>
      </c>
      <c r="J763">
        <v>63187</v>
      </c>
      <c r="K763">
        <v>0</v>
      </c>
      <c r="L763" s="1" t="s">
        <v>1085</v>
      </c>
      <c r="M763" s="1" t="s">
        <v>1093</v>
      </c>
      <c r="N763" t="s">
        <v>1241</v>
      </c>
    </row>
    <row r="764" spans="1:14">
      <c r="A764" s="1" t="s">
        <v>3189</v>
      </c>
      <c r="B764" s="1" t="s">
        <v>3190</v>
      </c>
      <c r="C764" s="1" t="s">
        <v>1119</v>
      </c>
      <c r="D764" s="1" t="s">
        <v>1148</v>
      </c>
      <c r="E764" s="1" t="s">
        <v>1082</v>
      </c>
      <c r="F764" s="1" t="s">
        <v>1083</v>
      </c>
      <c r="G764" s="1" t="s">
        <v>1106</v>
      </c>
      <c r="H764">
        <v>65</v>
      </c>
      <c r="I764">
        <v>38211</v>
      </c>
      <c r="J764">
        <v>93857</v>
      </c>
      <c r="K764">
        <v>0</v>
      </c>
      <c r="L764" s="1" t="s">
        <v>1085</v>
      </c>
      <c r="M764" s="1" t="s">
        <v>1116</v>
      </c>
      <c r="N764" t="s">
        <v>1241</v>
      </c>
    </row>
    <row r="765" spans="1:14">
      <c r="A765" s="1" t="s">
        <v>3191</v>
      </c>
      <c r="B765" s="1" t="s">
        <v>3192</v>
      </c>
      <c r="C765" s="1" t="s">
        <v>1160</v>
      </c>
      <c r="D765" s="1" t="s">
        <v>1097</v>
      </c>
      <c r="E765" s="1" t="s">
        <v>1082</v>
      </c>
      <c r="F765" s="1" t="s">
        <v>1083</v>
      </c>
      <c r="G765" s="1" t="s">
        <v>1106</v>
      </c>
      <c r="H765">
        <v>36</v>
      </c>
      <c r="I765">
        <v>44503</v>
      </c>
      <c r="J765">
        <v>253741</v>
      </c>
      <c r="K765">
        <v>0.34</v>
      </c>
      <c r="L765" s="1" t="s">
        <v>1221</v>
      </c>
      <c r="M765" s="1" t="s">
        <v>1222</v>
      </c>
      <c r="N765" t="s">
        <v>1241</v>
      </c>
    </row>
    <row r="766" spans="1:14">
      <c r="A766" s="1" t="s">
        <v>3193</v>
      </c>
      <c r="B766" s="1" t="s">
        <v>3194</v>
      </c>
      <c r="C766" s="1" t="s">
        <v>1119</v>
      </c>
      <c r="D766" s="1" t="s">
        <v>1148</v>
      </c>
      <c r="E766" s="1" t="s">
        <v>1121</v>
      </c>
      <c r="F766" s="1" t="s">
        <v>1105</v>
      </c>
      <c r="G766" s="1" t="s">
        <v>1106</v>
      </c>
      <c r="H766">
        <v>46</v>
      </c>
      <c r="I766" t="s">
        <v>3195</v>
      </c>
      <c r="J766">
        <v>92833</v>
      </c>
      <c r="K766">
        <v>0</v>
      </c>
      <c r="L766" s="1" t="s">
        <v>1221</v>
      </c>
      <c r="M766" s="1" t="s">
        <v>1222</v>
      </c>
      <c r="N766" t="s">
        <v>1241</v>
      </c>
    </row>
    <row r="767" spans="1:14">
      <c r="A767" s="1" t="s">
        <v>3196</v>
      </c>
      <c r="B767" s="1" t="s">
        <v>3197</v>
      </c>
      <c r="C767" s="1" t="s">
        <v>1165</v>
      </c>
      <c r="D767" s="1" t="s">
        <v>1097</v>
      </c>
      <c r="E767" s="1" t="s">
        <v>1121</v>
      </c>
      <c r="F767" s="1" t="s">
        <v>1105</v>
      </c>
      <c r="G767" s="1" t="s">
        <v>1106</v>
      </c>
      <c r="H767">
        <v>55</v>
      </c>
      <c r="I767" t="s">
        <v>2025</v>
      </c>
      <c r="J767">
        <v>95400</v>
      </c>
      <c r="K767">
        <v>0</v>
      </c>
      <c r="L767" s="1" t="s">
        <v>1221</v>
      </c>
      <c r="M767" s="1" t="s">
        <v>1443</v>
      </c>
      <c r="N767" t="s">
        <v>1241</v>
      </c>
    </row>
    <row r="768" spans="1:14">
      <c r="A768" s="1" t="s">
        <v>3198</v>
      </c>
      <c r="B768" s="1" t="s">
        <v>3199</v>
      </c>
      <c r="C768" s="1" t="s">
        <v>1601</v>
      </c>
      <c r="D768" s="1" t="s">
        <v>1081</v>
      </c>
      <c r="E768" s="1" t="s">
        <v>1121</v>
      </c>
      <c r="F768" s="1" t="s">
        <v>1105</v>
      </c>
      <c r="G768" s="1" t="s">
        <v>1153</v>
      </c>
      <c r="H768">
        <v>63</v>
      </c>
      <c r="I768">
        <v>41374</v>
      </c>
      <c r="J768">
        <v>88230</v>
      </c>
      <c r="K768">
        <v>0</v>
      </c>
      <c r="L768" s="1" t="s">
        <v>1085</v>
      </c>
      <c r="M768" s="1" t="s">
        <v>1137</v>
      </c>
      <c r="N768" t="s">
        <v>1241</v>
      </c>
    </row>
    <row r="769" spans="1:14">
      <c r="A769" s="1" t="s">
        <v>3200</v>
      </c>
      <c r="B769" s="1" t="s">
        <v>3201</v>
      </c>
      <c r="C769" s="1" t="s">
        <v>1446</v>
      </c>
      <c r="D769" s="1" t="s">
        <v>1081</v>
      </c>
      <c r="E769" s="1" t="s">
        <v>1098</v>
      </c>
      <c r="F769" s="1" t="s">
        <v>1105</v>
      </c>
      <c r="G769" s="1" t="s">
        <v>1084</v>
      </c>
      <c r="H769">
        <v>54</v>
      </c>
      <c r="I769" t="s">
        <v>3202</v>
      </c>
      <c r="J769">
        <v>62179</v>
      </c>
      <c r="K769">
        <v>0</v>
      </c>
      <c r="L769" s="1" t="s">
        <v>1100</v>
      </c>
      <c r="M769" s="1" t="s">
        <v>1101</v>
      </c>
      <c r="N769" t="s">
        <v>1241</v>
      </c>
    </row>
    <row r="770" spans="1:14">
      <c r="A770" s="1" t="s">
        <v>3203</v>
      </c>
      <c r="B770" s="1" t="s">
        <v>3204</v>
      </c>
      <c r="C770" s="1" t="s">
        <v>1269</v>
      </c>
      <c r="D770" s="1" t="s">
        <v>1097</v>
      </c>
      <c r="E770" s="1" t="s">
        <v>1098</v>
      </c>
      <c r="F770" s="1" t="s">
        <v>1105</v>
      </c>
      <c r="G770" s="1" t="s">
        <v>1133</v>
      </c>
      <c r="H770">
        <v>26</v>
      </c>
      <c r="I770" t="s">
        <v>3205</v>
      </c>
      <c r="J770">
        <v>42343</v>
      </c>
      <c r="K770">
        <v>0</v>
      </c>
      <c r="L770" s="1" t="s">
        <v>1085</v>
      </c>
      <c r="M770" s="1" t="s">
        <v>1137</v>
      </c>
      <c r="N770">
        <v>43867</v>
      </c>
    </row>
    <row r="771" spans="1:14">
      <c r="A771" s="1" t="s">
        <v>3206</v>
      </c>
      <c r="B771" s="1" t="s">
        <v>3207</v>
      </c>
      <c r="C771" s="1" t="s">
        <v>1119</v>
      </c>
      <c r="D771" s="1" t="s">
        <v>1120</v>
      </c>
      <c r="E771" s="1" t="s">
        <v>1091</v>
      </c>
      <c r="F771" s="1" t="s">
        <v>1083</v>
      </c>
      <c r="G771" s="1" t="s">
        <v>1133</v>
      </c>
      <c r="H771">
        <v>26</v>
      </c>
      <c r="I771">
        <v>44747</v>
      </c>
      <c r="J771">
        <v>70275</v>
      </c>
      <c r="K771">
        <v>0</v>
      </c>
      <c r="L771" s="1" t="s">
        <v>1085</v>
      </c>
      <c r="M771" s="1" t="s">
        <v>1086</v>
      </c>
      <c r="N771" t="s">
        <v>1241</v>
      </c>
    </row>
    <row r="772" spans="1:14">
      <c r="A772" s="1" t="s">
        <v>3208</v>
      </c>
      <c r="B772" s="1" t="s">
        <v>3209</v>
      </c>
      <c r="C772" s="1" t="s">
        <v>1126</v>
      </c>
      <c r="D772" s="1" t="s">
        <v>1090</v>
      </c>
      <c r="E772" s="1" t="s">
        <v>1091</v>
      </c>
      <c r="F772" s="1" t="s">
        <v>1105</v>
      </c>
      <c r="G772" s="1" t="s">
        <v>1106</v>
      </c>
      <c r="H772">
        <v>34</v>
      </c>
      <c r="I772">
        <v>41125</v>
      </c>
      <c r="J772">
        <v>51448</v>
      </c>
      <c r="K772">
        <v>0</v>
      </c>
      <c r="L772" s="1" t="s">
        <v>1221</v>
      </c>
      <c r="M772" s="1" t="s">
        <v>1443</v>
      </c>
      <c r="N772" t="s">
        <v>1241</v>
      </c>
    </row>
    <row r="773" spans="1:14">
      <c r="A773" s="1" t="s">
        <v>3210</v>
      </c>
      <c r="B773" s="1" t="s">
        <v>3211</v>
      </c>
      <c r="C773" s="1" t="s">
        <v>1160</v>
      </c>
      <c r="D773" s="1" t="s">
        <v>1081</v>
      </c>
      <c r="E773" s="1" t="s">
        <v>1082</v>
      </c>
      <c r="F773" s="1" t="s">
        <v>1105</v>
      </c>
      <c r="G773" s="1" t="s">
        <v>1084</v>
      </c>
      <c r="H773">
        <v>48</v>
      </c>
      <c r="I773">
        <v>40060</v>
      </c>
      <c r="J773">
        <v>185363</v>
      </c>
      <c r="K773">
        <v>0.33</v>
      </c>
      <c r="L773" s="1" t="s">
        <v>1100</v>
      </c>
      <c r="M773" s="1" t="s">
        <v>1101</v>
      </c>
      <c r="N773" t="s">
        <v>1241</v>
      </c>
    </row>
    <row r="774" spans="1:14">
      <c r="A774" s="1" t="s">
        <v>3212</v>
      </c>
      <c r="B774" s="1" t="s">
        <v>3213</v>
      </c>
      <c r="C774" s="1" t="s">
        <v>1285</v>
      </c>
      <c r="D774" s="1" t="s">
        <v>1097</v>
      </c>
      <c r="E774" s="1" t="s">
        <v>1082</v>
      </c>
      <c r="F774" s="1" t="s">
        <v>1083</v>
      </c>
      <c r="G774" s="1" t="s">
        <v>1133</v>
      </c>
      <c r="H774">
        <v>52</v>
      </c>
      <c r="I774" t="s">
        <v>3214</v>
      </c>
      <c r="J774">
        <v>60784</v>
      </c>
      <c r="K774">
        <v>0</v>
      </c>
      <c r="L774" s="1" t="s">
        <v>1085</v>
      </c>
      <c r="M774" s="1" t="s">
        <v>1112</v>
      </c>
      <c r="N774" t="s">
        <v>1241</v>
      </c>
    </row>
    <row r="775" spans="1:14">
      <c r="A775" s="1" t="s">
        <v>3215</v>
      </c>
      <c r="B775" s="1" t="s">
        <v>3216</v>
      </c>
      <c r="C775" s="1" t="s">
        <v>1089</v>
      </c>
      <c r="D775" s="1" t="s">
        <v>1120</v>
      </c>
      <c r="E775" s="1" t="s">
        <v>1121</v>
      </c>
      <c r="F775" s="1" t="s">
        <v>1105</v>
      </c>
      <c r="G775" s="1" t="s">
        <v>1106</v>
      </c>
      <c r="H775">
        <v>45</v>
      </c>
      <c r="I775">
        <v>38172</v>
      </c>
      <c r="J775">
        <v>45323</v>
      </c>
      <c r="K775">
        <v>0</v>
      </c>
      <c r="L775" s="1" t="s">
        <v>1221</v>
      </c>
      <c r="M775" s="1" t="s">
        <v>1222</v>
      </c>
      <c r="N775" t="s">
        <v>1241</v>
      </c>
    </row>
    <row r="776" spans="1:14">
      <c r="A776" s="1" t="s">
        <v>3217</v>
      </c>
      <c r="B776" s="1" t="s">
        <v>1450</v>
      </c>
      <c r="C776" s="1" t="s">
        <v>1136</v>
      </c>
      <c r="D776" s="1" t="s">
        <v>1127</v>
      </c>
      <c r="E776" s="1" t="s">
        <v>1121</v>
      </c>
      <c r="F776" s="1" t="s">
        <v>1105</v>
      </c>
      <c r="G776" s="1" t="s">
        <v>1106</v>
      </c>
      <c r="H776">
        <v>51</v>
      </c>
      <c r="I776">
        <v>41191</v>
      </c>
      <c r="J776">
        <v>129727</v>
      </c>
      <c r="K776">
        <v>0.08</v>
      </c>
      <c r="L776" s="1" t="s">
        <v>1085</v>
      </c>
      <c r="M776" s="1" t="s">
        <v>1116</v>
      </c>
      <c r="N776">
        <v>44387</v>
      </c>
    </row>
    <row r="777" spans="1:14">
      <c r="A777" s="1" t="s">
        <v>3218</v>
      </c>
      <c r="B777" s="1" t="s">
        <v>3219</v>
      </c>
      <c r="C777" s="1" t="s">
        <v>1177</v>
      </c>
      <c r="D777" s="1" t="s">
        <v>1090</v>
      </c>
      <c r="E777" s="1" t="s">
        <v>1121</v>
      </c>
      <c r="F777" s="1" t="s">
        <v>1105</v>
      </c>
      <c r="G777" s="1" t="s">
        <v>1084</v>
      </c>
      <c r="H777">
        <v>43</v>
      </c>
      <c r="I777" t="s">
        <v>3220</v>
      </c>
      <c r="J777">
        <v>63229</v>
      </c>
      <c r="K777">
        <v>0</v>
      </c>
      <c r="L777" s="1" t="s">
        <v>1085</v>
      </c>
      <c r="M777" s="1" t="s">
        <v>1137</v>
      </c>
      <c r="N777" t="s">
        <v>1241</v>
      </c>
    </row>
    <row r="778" spans="1:14">
      <c r="A778" s="1" t="s">
        <v>3221</v>
      </c>
      <c r="B778" s="1" t="s">
        <v>3222</v>
      </c>
      <c r="C778" s="1" t="s">
        <v>1110</v>
      </c>
      <c r="D778" s="1" t="s">
        <v>1120</v>
      </c>
      <c r="E778" s="1" t="s">
        <v>1091</v>
      </c>
      <c r="F778" s="1" t="s">
        <v>1083</v>
      </c>
      <c r="G778" s="1" t="s">
        <v>1133</v>
      </c>
      <c r="H778">
        <v>54</v>
      </c>
      <c r="I778">
        <v>38323</v>
      </c>
      <c r="J778">
        <v>194221</v>
      </c>
      <c r="K778">
        <v>0.16</v>
      </c>
      <c r="L778" s="1" t="s">
        <v>1085</v>
      </c>
      <c r="M778" s="1" t="s">
        <v>1112</v>
      </c>
      <c r="N778" t="s">
        <v>1241</v>
      </c>
    </row>
    <row r="779" spans="1:14">
      <c r="A779" s="1" t="s">
        <v>3223</v>
      </c>
      <c r="B779" s="1" t="s">
        <v>3224</v>
      </c>
      <c r="C779" s="1" t="s">
        <v>1119</v>
      </c>
      <c r="D779" s="1" t="s">
        <v>1090</v>
      </c>
      <c r="E779" s="1" t="s">
        <v>1098</v>
      </c>
      <c r="F779" s="1" t="s">
        <v>1105</v>
      </c>
      <c r="G779" s="1" t="s">
        <v>1133</v>
      </c>
      <c r="H779">
        <v>54</v>
      </c>
      <c r="I779">
        <v>43446</v>
      </c>
      <c r="J779">
        <v>78020</v>
      </c>
      <c r="K779">
        <v>0</v>
      </c>
      <c r="L779" s="1" t="s">
        <v>1085</v>
      </c>
      <c r="M779" s="1" t="s">
        <v>1086</v>
      </c>
      <c r="N779" t="s">
        <v>1241</v>
      </c>
    </row>
    <row r="780" spans="1:14">
      <c r="A780" s="1" t="s">
        <v>3225</v>
      </c>
      <c r="B780" s="1" t="s">
        <v>3226</v>
      </c>
      <c r="C780" s="1" t="s">
        <v>1160</v>
      </c>
      <c r="D780" s="1" t="s">
        <v>1120</v>
      </c>
      <c r="E780" s="1" t="s">
        <v>1121</v>
      </c>
      <c r="F780" s="1" t="s">
        <v>1083</v>
      </c>
      <c r="G780" s="1" t="s">
        <v>1133</v>
      </c>
      <c r="H780">
        <v>25</v>
      </c>
      <c r="I780">
        <v>44752</v>
      </c>
      <c r="J780">
        <v>197331</v>
      </c>
      <c r="K780">
        <v>0.33</v>
      </c>
      <c r="L780" s="1" t="s">
        <v>1085</v>
      </c>
      <c r="M780" s="1" t="s">
        <v>1107</v>
      </c>
      <c r="N780" t="s">
        <v>1241</v>
      </c>
    </row>
    <row r="781" spans="1:14">
      <c r="A781" s="1" t="s">
        <v>3227</v>
      </c>
      <c r="B781" s="1" t="s">
        <v>3228</v>
      </c>
      <c r="C781" s="1" t="s">
        <v>1126</v>
      </c>
      <c r="D781" s="1" t="s">
        <v>1120</v>
      </c>
      <c r="E781" s="1" t="s">
        <v>1082</v>
      </c>
      <c r="F781" s="1" t="s">
        <v>1083</v>
      </c>
      <c r="G781" s="1" t="s">
        <v>1106</v>
      </c>
      <c r="H781">
        <v>65</v>
      </c>
      <c r="I781" t="s">
        <v>3229</v>
      </c>
      <c r="J781">
        <v>63346</v>
      </c>
      <c r="K781">
        <v>0</v>
      </c>
      <c r="L781" s="1" t="s">
        <v>1221</v>
      </c>
      <c r="M781" s="1" t="s">
        <v>1222</v>
      </c>
      <c r="N781" t="s">
        <v>1241</v>
      </c>
    </row>
    <row r="782" spans="1:14">
      <c r="A782" s="1" t="s">
        <v>3230</v>
      </c>
      <c r="B782" s="1" t="s">
        <v>3231</v>
      </c>
      <c r="C782" s="1" t="s">
        <v>1080</v>
      </c>
      <c r="D782" s="1" t="s">
        <v>1081</v>
      </c>
      <c r="E782" s="1" t="s">
        <v>1082</v>
      </c>
      <c r="F782" s="1" t="s">
        <v>1083</v>
      </c>
      <c r="G782" s="1" t="s">
        <v>1106</v>
      </c>
      <c r="H782">
        <v>40</v>
      </c>
      <c r="I782">
        <v>41950</v>
      </c>
      <c r="J782">
        <v>105574</v>
      </c>
      <c r="K782">
        <v>0</v>
      </c>
      <c r="L782" s="1" t="s">
        <v>1085</v>
      </c>
      <c r="M782" s="1" t="s">
        <v>1137</v>
      </c>
      <c r="N782" t="s">
        <v>1241</v>
      </c>
    </row>
    <row r="783" spans="1:14">
      <c r="A783" s="1" t="s">
        <v>3232</v>
      </c>
      <c r="B783" s="1" t="s">
        <v>3233</v>
      </c>
      <c r="C783" s="1" t="s">
        <v>1632</v>
      </c>
      <c r="D783" s="1" t="s">
        <v>1081</v>
      </c>
      <c r="E783" s="1" t="s">
        <v>1091</v>
      </c>
      <c r="F783" s="1" t="s">
        <v>1083</v>
      </c>
      <c r="G783" s="1" t="s">
        <v>1084</v>
      </c>
      <c r="H783">
        <v>31</v>
      </c>
      <c r="I783">
        <v>42342</v>
      </c>
      <c r="J783">
        <v>101941</v>
      </c>
      <c r="K783">
        <v>0</v>
      </c>
      <c r="L783" s="1" t="s">
        <v>1100</v>
      </c>
      <c r="M783" s="1" t="s">
        <v>1188</v>
      </c>
      <c r="N783" t="s">
        <v>1241</v>
      </c>
    </row>
    <row r="784" spans="1:14">
      <c r="A784" s="1" t="s">
        <v>3234</v>
      </c>
      <c r="B784" s="1" t="s">
        <v>3235</v>
      </c>
      <c r="C784" s="1" t="s">
        <v>1358</v>
      </c>
      <c r="D784" s="1" t="s">
        <v>1097</v>
      </c>
      <c r="E784" s="1" t="s">
        <v>1098</v>
      </c>
      <c r="F784" s="1" t="s">
        <v>1083</v>
      </c>
      <c r="G784" s="1" t="s">
        <v>1153</v>
      </c>
      <c r="H784">
        <v>45</v>
      </c>
      <c r="I784" t="s">
        <v>3236</v>
      </c>
      <c r="J784">
        <v>74777</v>
      </c>
      <c r="K784">
        <v>0</v>
      </c>
      <c r="L784" s="1" t="s">
        <v>1085</v>
      </c>
      <c r="M784" s="1" t="s">
        <v>1112</v>
      </c>
      <c r="N784" t="s">
        <v>1241</v>
      </c>
    </row>
    <row r="785" spans="1:14">
      <c r="A785" s="1" t="s">
        <v>3237</v>
      </c>
      <c r="B785" s="1" t="s">
        <v>3238</v>
      </c>
      <c r="C785" s="1" t="s">
        <v>1089</v>
      </c>
      <c r="D785" s="1" t="s">
        <v>1090</v>
      </c>
      <c r="E785" s="1" t="s">
        <v>1098</v>
      </c>
      <c r="F785" s="1" t="s">
        <v>1083</v>
      </c>
      <c r="G785" s="1" t="s">
        <v>1133</v>
      </c>
      <c r="H785">
        <v>40</v>
      </c>
      <c r="I785" t="s">
        <v>3239</v>
      </c>
      <c r="J785">
        <v>59447</v>
      </c>
      <c r="K785">
        <v>0</v>
      </c>
      <c r="L785" s="1" t="s">
        <v>1085</v>
      </c>
      <c r="M785" s="1" t="s">
        <v>1112</v>
      </c>
      <c r="N785" t="s">
        <v>1241</v>
      </c>
    </row>
    <row r="786" spans="1:14">
      <c r="A786" s="1" t="s">
        <v>3240</v>
      </c>
      <c r="B786" s="1" t="s">
        <v>3241</v>
      </c>
      <c r="C786" s="1" t="s">
        <v>1136</v>
      </c>
      <c r="D786" s="1" t="s">
        <v>1148</v>
      </c>
      <c r="E786" s="1" t="s">
        <v>1082</v>
      </c>
      <c r="F786" s="1" t="s">
        <v>1083</v>
      </c>
      <c r="G786" s="1" t="s">
        <v>1084</v>
      </c>
      <c r="H786">
        <v>25</v>
      </c>
      <c r="I786">
        <v>44420</v>
      </c>
      <c r="J786">
        <v>105072</v>
      </c>
      <c r="K786">
        <v>0.06</v>
      </c>
      <c r="L786" s="1" t="s">
        <v>1100</v>
      </c>
      <c r="M786" s="1" t="s">
        <v>1129</v>
      </c>
      <c r="N786" t="s">
        <v>1241</v>
      </c>
    </row>
    <row r="787" spans="1:14">
      <c r="A787" s="1" t="s">
        <v>3242</v>
      </c>
      <c r="B787" s="1" t="s">
        <v>3243</v>
      </c>
      <c r="C787" s="1" t="s">
        <v>1152</v>
      </c>
      <c r="D787" s="1" t="s">
        <v>1097</v>
      </c>
      <c r="E787" s="1"/>
      <c r="F787" s="1"/>
      <c r="G787" s="1" t="s">
        <v>1106</v>
      </c>
      <c r="H787">
        <v>53</v>
      </c>
      <c r="I787" t="s">
        <v>3244</v>
      </c>
      <c r="J787">
        <v>150893</v>
      </c>
      <c r="K787">
        <v>0.13</v>
      </c>
      <c r="L787" s="1" t="s">
        <v>1085</v>
      </c>
      <c r="M787" s="1" t="s">
        <v>1093</v>
      </c>
      <c r="N787" t="s">
        <v>1241</v>
      </c>
    </row>
    <row r="788" spans="1:14">
      <c r="A788" s="1" t="s">
        <v>3245</v>
      </c>
      <c r="B788" s="1" t="s">
        <v>3246</v>
      </c>
      <c r="C788" s="1" t="s">
        <v>1110</v>
      </c>
      <c r="D788" s="1"/>
      <c r="E788" s="1" t="s">
        <v>1091</v>
      </c>
      <c r="F788" s="1"/>
      <c r="G788" s="1" t="s">
        <v>1106</v>
      </c>
      <c r="H788">
        <v>49</v>
      </c>
      <c r="I788">
        <v>41488</v>
      </c>
      <c r="J788">
        <v>156276</v>
      </c>
      <c r="K788">
        <v>0.22</v>
      </c>
      <c r="L788" s="1" t="s">
        <v>1085</v>
      </c>
      <c r="M788" s="1" t="s">
        <v>1112</v>
      </c>
      <c r="N788" t="s">
        <v>1241</v>
      </c>
    </row>
    <row r="789" spans="1:14">
      <c r="A789" s="1" t="s">
        <v>3247</v>
      </c>
      <c r="B789" s="1" t="s">
        <v>3248</v>
      </c>
      <c r="C789" s="1"/>
      <c r="D789" s="1" t="s">
        <v>1120</v>
      </c>
      <c r="E789" s="1"/>
      <c r="F789" s="1" t="s">
        <v>1105</v>
      </c>
      <c r="G789" s="1" t="s">
        <v>1084</v>
      </c>
      <c r="H789">
        <v>31</v>
      </c>
      <c r="I789" t="s">
        <v>3249</v>
      </c>
      <c r="J789">
        <v>191755</v>
      </c>
      <c r="K789">
        <v>0.4</v>
      </c>
      <c r="L789" s="1" t="s">
        <v>1085</v>
      </c>
      <c r="M789" s="1" t="s">
        <v>1137</v>
      </c>
      <c r="N789" t="s">
        <v>1241</v>
      </c>
    </row>
    <row r="790" spans="1:14">
      <c r="A790" s="1" t="s">
        <v>3250</v>
      </c>
      <c r="B790" s="1"/>
      <c r="C790" s="1" t="s">
        <v>1528</v>
      </c>
      <c r="D790" s="1" t="s">
        <v>1097</v>
      </c>
      <c r="E790" s="1"/>
      <c r="F790" s="1" t="s">
        <v>1105</v>
      </c>
      <c r="G790" s="1" t="s">
        <v>1133</v>
      </c>
      <c r="H790">
        <v>33</v>
      </c>
      <c r="I790">
        <v>43932</v>
      </c>
      <c r="J790">
        <v>81070</v>
      </c>
      <c r="K790">
        <v>0</v>
      </c>
      <c r="L790" s="1" t="s">
        <v>1085</v>
      </c>
      <c r="M790" s="1" t="s">
        <v>1137</v>
      </c>
      <c r="N790" t="s">
        <v>1241</v>
      </c>
    </row>
    <row r="791" spans="1:14">
      <c r="A791" s="1" t="s">
        <v>3251</v>
      </c>
      <c r="B791" s="1" t="s">
        <v>3252</v>
      </c>
      <c r="C791" s="1"/>
      <c r="D791" s="1" t="s">
        <v>1120</v>
      </c>
      <c r="E791" s="1"/>
      <c r="F791" s="1" t="s">
        <v>1083</v>
      </c>
      <c r="G791" s="1" t="s">
        <v>1106</v>
      </c>
      <c r="H791">
        <v>40</v>
      </c>
      <c r="I791">
        <v>44208</v>
      </c>
      <c r="J791">
        <v>176533</v>
      </c>
      <c r="K791">
        <v>0.25</v>
      </c>
      <c r="L791" s="1" t="s">
        <v>1085</v>
      </c>
      <c r="M791" s="1" t="s">
        <v>1112</v>
      </c>
      <c r="N791" t="s">
        <v>1241</v>
      </c>
    </row>
    <row r="792" spans="1:14">
      <c r="A792" s="1" t="s">
        <v>3253</v>
      </c>
      <c r="B792" s="1" t="s">
        <v>3254</v>
      </c>
      <c r="C792" s="1" t="s">
        <v>1165</v>
      </c>
      <c r="D792" s="1"/>
      <c r="E792" s="1"/>
      <c r="F792" s="1" t="s">
        <v>1105</v>
      </c>
      <c r="G792" s="1" t="s">
        <v>1084</v>
      </c>
      <c r="H792">
        <v>29</v>
      </c>
      <c r="I792" t="s">
        <v>3255</v>
      </c>
      <c r="J792">
        <v>60919</v>
      </c>
      <c r="K792">
        <v>0</v>
      </c>
      <c r="L792" s="1" t="s">
        <v>1085</v>
      </c>
      <c r="M792" s="1" t="s">
        <v>1086</v>
      </c>
      <c r="N792" t="s">
        <v>1241</v>
      </c>
    </row>
    <row r="793" spans="1:14">
      <c r="A793" s="1" t="s">
        <v>3256</v>
      </c>
      <c r="B793" s="1" t="s">
        <v>3257</v>
      </c>
      <c r="C793" s="1" t="s">
        <v>1318</v>
      </c>
      <c r="D793" s="1"/>
      <c r="E793" s="1"/>
      <c r="F793" s="1" t="s">
        <v>1083</v>
      </c>
      <c r="G793" s="1" t="s">
        <v>1084</v>
      </c>
      <c r="H793">
        <v>51</v>
      </c>
      <c r="K793">
        <v>0</v>
      </c>
      <c r="L793" s="1" t="s">
        <v>1100</v>
      </c>
      <c r="M793" s="1" t="s">
        <v>1123</v>
      </c>
      <c r="N793" t="s">
        <v>1241</v>
      </c>
    </row>
    <row r="794" spans="1:14">
      <c r="A794" s="1" t="s">
        <v>3258</v>
      </c>
      <c r="B794" s="1" t="s">
        <v>3259</v>
      </c>
      <c r="C794" s="1" t="s">
        <v>1089</v>
      </c>
      <c r="D794" s="1" t="s">
        <v>1090</v>
      </c>
      <c r="E794" s="1"/>
      <c r="F794" s="1"/>
      <c r="G794" s="1" t="s">
        <v>1084</v>
      </c>
      <c r="H794">
        <v>31</v>
      </c>
      <c r="I794" t="s">
        <v>3090</v>
      </c>
      <c r="L794" s="1" t="s">
        <v>1085</v>
      </c>
      <c r="M794" s="1" t="s">
        <v>1093</v>
      </c>
      <c r="N794" t="s">
        <v>1241</v>
      </c>
    </row>
    <row r="795" spans="1:14">
      <c r="A795" s="1" t="s">
        <v>3260</v>
      </c>
      <c r="B795" s="1" t="s">
        <v>3261</v>
      </c>
      <c r="C795" s="1" t="s">
        <v>1119</v>
      </c>
      <c r="D795" s="1" t="s">
        <v>1120</v>
      </c>
      <c r="E795" s="1"/>
      <c r="F795" s="1" t="s">
        <v>1105</v>
      </c>
      <c r="G795" s="1" t="s">
        <v>1084</v>
      </c>
      <c r="H795">
        <v>44</v>
      </c>
      <c r="I795" t="s">
        <v>3262</v>
      </c>
      <c r="K795">
        <v>0</v>
      </c>
      <c r="L795" s="1" t="s">
        <v>1085</v>
      </c>
      <c r="M795" s="1" t="s">
        <v>1093</v>
      </c>
      <c r="N795" t="s">
        <v>1241</v>
      </c>
    </row>
    <row r="796" spans="1:14">
      <c r="A796" s="1" t="s">
        <v>3263</v>
      </c>
      <c r="B796" s="1" t="s">
        <v>3264</v>
      </c>
      <c r="C796" s="1" t="s">
        <v>1177</v>
      </c>
      <c r="D796" s="1"/>
      <c r="E796" s="1"/>
      <c r="F796" s="1" t="s">
        <v>1105</v>
      </c>
      <c r="G796" s="1" t="s">
        <v>1133</v>
      </c>
      <c r="H796">
        <v>38</v>
      </c>
      <c r="K796">
        <v>0</v>
      </c>
      <c r="L796" s="1" t="s">
        <v>1085</v>
      </c>
      <c r="M796" s="1" t="s">
        <v>1107</v>
      </c>
      <c r="N796" t="s">
        <v>1241</v>
      </c>
    </row>
    <row r="797" spans="1:14">
      <c r="A797" s="1" t="s">
        <v>3265</v>
      </c>
      <c r="B797" s="1" t="s">
        <v>3266</v>
      </c>
      <c r="C797" s="1"/>
      <c r="D797" s="1" t="s">
        <v>1120</v>
      </c>
      <c r="E797" s="1"/>
      <c r="F797" s="1" t="s">
        <v>1105</v>
      </c>
      <c r="G797" s="1" t="s">
        <v>1084</v>
      </c>
      <c r="J797">
        <v>129172</v>
      </c>
      <c r="L797" s="1" t="s">
        <v>1100</v>
      </c>
      <c r="M797" s="1" t="s">
        <v>1188</v>
      </c>
      <c r="N797" t="s">
        <v>1241</v>
      </c>
    </row>
    <row r="798" spans="1:14">
      <c r="A798" s="1" t="s">
        <v>3267</v>
      </c>
      <c r="B798" s="1"/>
      <c r="C798" s="1" t="s">
        <v>1089</v>
      </c>
      <c r="D798" s="1" t="s">
        <v>1120</v>
      </c>
      <c r="E798" s="1"/>
      <c r="F798" s="1" t="s">
        <v>1105</v>
      </c>
      <c r="G798" s="1" t="s">
        <v>1084</v>
      </c>
      <c r="H798">
        <v>49</v>
      </c>
      <c r="I798">
        <v>44502</v>
      </c>
      <c r="J798">
        <v>50012</v>
      </c>
      <c r="L798" s="1" t="s">
        <v>1085</v>
      </c>
      <c r="M798" s="1" t="s">
        <v>1107</v>
      </c>
      <c r="N798" t="s">
        <v>1241</v>
      </c>
    </row>
    <row r="799" spans="1:14">
      <c r="A799" s="1" t="s">
        <v>3268</v>
      </c>
      <c r="B799" s="1"/>
      <c r="C799" s="1"/>
      <c r="D799" s="1" t="s">
        <v>1090</v>
      </c>
      <c r="E799" s="1"/>
      <c r="F799" s="1" t="s">
        <v>1105</v>
      </c>
      <c r="G799" s="1" t="s">
        <v>1084</v>
      </c>
      <c r="H799">
        <v>44</v>
      </c>
      <c r="J799">
        <v>122441</v>
      </c>
      <c r="L799" s="1" t="s">
        <v>1085</v>
      </c>
      <c r="M799" s="1" t="s">
        <v>1086</v>
      </c>
      <c r="N799" t="s">
        <v>1241</v>
      </c>
    </row>
    <row r="800" spans="1:14">
      <c r="A800" s="1" t="s">
        <v>3269</v>
      </c>
      <c r="B800" s="1" t="s">
        <v>3270</v>
      </c>
      <c r="C800" s="1" t="s">
        <v>1080</v>
      </c>
      <c r="D800" s="1"/>
      <c r="E800" s="1"/>
      <c r="F800" s="1"/>
      <c r="G800" s="1" t="s">
        <v>1106</v>
      </c>
      <c r="H800">
        <v>45</v>
      </c>
      <c r="J800">
        <v>85822</v>
      </c>
      <c r="K800">
        <v>0</v>
      </c>
      <c r="L800" s="1"/>
      <c r="M800" s="1" t="s">
        <v>1116</v>
      </c>
      <c r="N800" t="s">
        <v>1241</v>
      </c>
    </row>
    <row r="801" spans="1:14">
      <c r="A801" s="1" t="s">
        <v>3271</v>
      </c>
      <c r="B801" s="1" t="s">
        <v>2396</v>
      </c>
      <c r="C801" s="1" t="s">
        <v>1089</v>
      </c>
      <c r="D801" s="1" t="s">
        <v>1090</v>
      </c>
      <c r="E801" s="1"/>
      <c r="F801" s="1" t="s">
        <v>1083</v>
      </c>
      <c r="G801" s="1" t="s">
        <v>1106</v>
      </c>
      <c r="H801">
        <v>58</v>
      </c>
      <c r="I801" t="s">
        <v>3272</v>
      </c>
      <c r="K801">
        <v>0</v>
      </c>
      <c r="L801" s="1"/>
      <c r="M801" s="1" t="s">
        <v>1137</v>
      </c>
      <c r="N801" t="s">
        <v>1241</v>
      </c>
    </row>
    <row r="802" spans="1:14">
      <c r="A802" s="1" t="s">
        <v>3273</v>
      </c>
      <c r="B802" s="1" t="s">
        <v>3274</v>
      </c>
      <c r="C802" s="1" t="s">
        <v>1119</v>
      </c>
      <c r="D802" s="1" t="s">
        <v>1120</v>
      </c>
      <c r="E802" s="1"/>
      <c r="F802" s="1" t="s">
        <v>1083</v>
      </c>
      <c r="G802" s="1" t="s">
        <v>1084</v>
      </c>
      <c r="H802">
        <v>29</v>
      </c>
      <c r="I802" t="s">
        <v>3275</v>
      </c>
      <c r="J802">
        <v>72620</v>
      </c>
      <c r="K802">
        <v>0</v>
      </c>
      <c r="L802" s="1"/>
      <c r="M802" s="1" t="s">
        <v>1123</v>
      </c>
      <c r="N802" t="s">
        <v>1241</v>
      </c>
    </row>
    <row r="803" spans="1:14">
      <c r="A803" s="1" t="s">
        <v>3276</v>
      </c>
      <c r="B803" s="1" t="s">
        <v>3277</v>
      </c>
      <c r="C803" s="1" t="s">
        <v>1126</v>
      </c>
      <c r="D803" s="1" t="s">
        <v>1148</v>
      </c>
      <c r="E803" s="1"/>
      <c r="F803" s="1" t="s">
        <v>1105</v>
      </c>
      <c r="G803" s="1" t="s">
        <v>1106</v>
      </c>
      <c r="H803">
        <v>25</v>
      </c>
      <c r="I803" t="s">
        <v>3278</v>
      </c>
      <c r="J803">
        <v>71222</v>
      </c>
      <c r="K803">
        <v>0</v>
      </c>
      <c r="L803" s="1"/>
      <c r="M803" s="1"/>
      <c r="N803" t="s">
        <v>1241</v>
      </c>
    </row>
    <row r="804" spans="1:14">
      <c r="A804" s="1" t="s">
        <v>3279</v>
      </c>
      <c r="B804" s="1" t="s">
        <v>3280</v>
      </c>
      <c r="C804" s="1" t="s">
        <v>1110</v>
      </c>
      <c r="D804" s="1" t="s">
        <v>1081</v>
      </c>
      <c r="E804" s="1"/>
      <c r="F804" s="1" t="s">
        <v>1105</v>
      </c>
      <c r="G804" s="1" t="s">
        <v>1133</v>
      </c>
      <c r="H804">
        <v>62</v>
      </c>
      <c r="I804" t="s">
        <v>3281</v>
      </c>
      <c r="J804">
        <v>155332</v>
      </c>
      <c r="K804">
        <v>0.2</v>
      </c>
      <c r="L804" s="1"/>
      <c r="M804" s="1" t="s">
        <v>1112</v>
      </c>
      <c r="N804" t="s">
        <v>1241</v>
      </c>
    </row>
    <row r="805" spans="1:14">
      <c r="A805" s="1" t="s">
        <v>3282</v>
      </c>
      <c r="B805" s="1" t="s">
        <v>3283</v>
      </c>
      <c r="C805" s="1" t="s">
        <v>1136</v>
      </c>
      <c r="D805" s="1" t="s">
        <v>1127</v>
      </c>
      <c r="E805" s="1" t="s">
        <v>1082</v>
      </c>
      <c r="F805" s="1"/>
      <c r="G805" s="1" t="s">
        <v>1106</v>
      </c>
      <c r="H805">
        <v>33</v>
      </c>
      <c r="I805" t="s">
        <v>3284</v>
      </c>
      <c r="J805">
        <v>107202</v>
      </c>
      <c r="K805">
        <v>0.06</v>
      </c>
      <c r="L805" s="1"/>
      <c r="M805" s="1" t="s">
        <v>1086</v>
      </c>
      <c r="N805" t="s">
        <v>1241</v>
      </c>
    </row>
    <row r="806" spans="1:14">
      <c r="A806" s="1" t="s">
        <v>3285</v>
      </c>
      <c r="B806" s="1" t="s">
        <v>3286</v>
      </c>
      <c r="C806" s="1" t="s">
        <v>1136</v>
      </c>
      <c r="D806" s="1" t="s">
        <v>1120</v>
      </c>
      <c r="E806" s="1"/>
      <c r="F806" s="1" t="s">
        <v>1083</v>
      </c>
      <c r="G806" s="1" t="s">
        <v>1106</v>
      </c>
      <c r="H806">
        <v>56</v>
      </c>
      <c r="I806" t="s">
        <v>3287</v>
      </c>
      <c r="J806">
        <v>121751</v>
      </c>
      <c r="K806">
        <v>0.08</v>
      </c>
      <c r="L806" s="1"/>
      <c r="M806" s="1" t="s">
        <v>1086</v>
      </c>
      <c r="N806" t="s">
        <v>1241</v>
      </c>
    </row>
    <row r="807" spans="1:14">
      <c r="A807" s="1" t="s">
        <v>3288</v>
      </c>
      <c r="B807" s="1" t="s">
        <v>3289</v>
      </c>
      <c r="C807" s="1" t="s">
        <v>1136</v>
      </c>
      <c r="D807" s="1" t="s">
        <v>1127</v>
      </c>
      <c r="E807" s="1"/>
      <c r="F807" s="1" t="s">
        <v>1105</v>
      </c>
      <c r="G807" s="1" t="s">
        <v>1106</v>
      </c>
      <c r="H807">
        <v>45</v>
      </c>
      <c r="I807" t="s">
        <v>3290</v>
      </c>
      <c r="J807">
        <v>115591</v>
      </c>
      <c r="K807">
        <v>0.05</v>
      </c>
      <c r="L807" s="1"/>
      <c r="M807" s="1" t="s">
        <v>1093</v>
      </c>
      <c r="N807" t="s">
        <v>1241</v>
      </c>
    </row>
    <row r="808" spans="1:14">
      <c r="A808" s="1" t="s">
        <v>3291</v>
      </c>
      <c r="B808" s="1" t="s">
        <v>3292</v>
      </c>
      <c r="C808" s="1" t="s">
        <v>1136</v>
      </c>
      <c r="D808" s="1" t="s">
        <v>1208</v>
      </c>
      <c r="E808" s="1"/>
      <c r="F808" s="1" t="s">
        <v>1105</v>
      </c>
      <c r="G808" s="1" t="s">
        <v>1106</v>
      </c>
      <c r="H808">
        <v>28</v>
      </c>
      <c r="I808">
        <v>44503</v>
      </c>
      <c r="J808">
        <v>108601</v>
      </c>
      <c r="K808">
        <v>0.05</v>
      </c>
      <c r="L808" s="1"/>
      <c r="M808" s="1" t="s">
        <v>1222</v>
      </c>
      <c r="N808" t="s">
        <v>1241</v>
      </c>
    </row>
    <row r="809" spans="1:14">
      <c r="A809" s="1" t="s">
        <v>3293</v>
      </c>
      <c r="B809" s="1" t="s">
        <v>3294</v>
      </c>
      <c r="C809" s="1" t="s">
        <v>1152</v>
      </c>
      <c r="D809" s="1"/>
      <c r="E809" s="1" t="s">
        <v>1082</v>
      </c>
      <c r="F809" s="1"/>
      <c r="G809" s="1" t="s">
        <v>1084</v>
      </c>
      <c r="H809">
        <v>30</v>
      </c>
      <c r="I809" t="s">
        <v>3295</v>
      </c>
      <c r="J809">
        <v>159823</v>
      </c>
      <c r="K809">
        <v>0.11</v>
      </c>
      <c r="L809" s="1" t="s">
        <v>1085</v>
      </c>
      <c r="M809" s="1"/>
      <c r="N809" t="s">
        <v>3296</v>
      </c>
    </row>
    <row r="810" spans="1:14">
      <c r="A810" s="1" t="s">
        <v>3297</v>
      </c>
      <c r="B810" s="1" t="s">
        <v>1118</v>
      </c>
      <c r="C810" s="1" t="s">
        <v>1089</v>
      </c>
      <c r="D810" s="1" t="s">
        <v>1148</v>
      </c>
      <c r="E810" s="1"/>
      <c r="F810" s="1" t="s">
        <v>1105</v>
      </c>
      <c r="G810" s="1" t="s">
        <v>1084</v>
      </c>
      <c r="H810">
        <v>45</v>
      </c>
      <c r="I810" t="s">
        <v>3298</v>
      </c>
      <c r="J810">
        <v>53526</v>
      </c>
      <c r="K810">
        <v>0</v>
      </c>
      <c r="L810" s="1"/>
      <c r="M810" s="1" t="s">
        <v>1107</v>
      </c>
      <c r="N810" t="s">
        <v>1241</v>
      </c>
    </row>
    <row r="811" spans="1:14">
      <c r="A811" s="1" t="s">
        <v>3299</v>
      </c>
      <c r="B811" s="1" t="s">
        <v>3300</v>
      </c>
      <c r="C811" s="1" t="s">
        <v>1104</v>
      </c>
      <c r="D811" s="1" t="s">
        <v>1097</v>
      </c>
      <c r="E811" s="1"/>
      <c r="F811" s="1" t="s">
        <v>1083</v>
      </c>
      <c r="G811" s="1" t="s">
        <v>1106</v>
      </c>
      <c r="H811">
        <v>33</v>
      </c>
      <c r="I811">
        <v>42441</v>
      </c>
      <c r="J811">
        <v>90084</v>
      </c>
      <c r="K811">
        <v>0</v>
      </c>
      <c r="L811" s="1"/>
      <c r="M811" s="1" t="s">
        <v>1086</v>
      </c>
      <c r="N811" t="s">
        <v>1241</v>
      </c>
    </row>
    <row r="812" spans="1:14">
      <c r="A812" s="1" t="s">
        <v>3301</v>
      </c>
      <c r="B812" s="1" t="s">
        <v>3302</v>
      </c>
      <c r="C812" s="1" t="s">
        <v>1160</v>
      </c>
      <c r="D812" s="1" t="s">
        <v>1120</v>
      </c>
      <c r="E812" s="1"/>
      <c r="F812" s="1" t="s">
        <v>1083</v>
      </c>
      <c r="G812" s="1" t="s">
        <v>1133</v>
      </c>
      <c r="H812">
        <v>41</v>
      </c>
      <c r="I812" t="s">
        <v>3303</v>
      </c>
      <c r="J812">
        <v>210085</v>
      </c>
      <c r="K812">
        <v>0.39</v>
      </c>
      <c r="L812" s="1"/>
      <c r="M812" s="1" t="s">
        <v>1093</v>
      </c>
      <c r="N812" t="s">
        <v>1241</v>
      </c>
    </row>
    <row r="813" spans="1:14">
      <c r="A813" s="1" t="s">
        <v>3304</v>
      </c>
      <c r="B813" s="1" t="s">
        <v>3305</v>
      </c>
      <c r="C813" s="1" t="s">
        <v>1152</v>
      </c>
      <c r="D813" s="1"/>
      <c r="E813" s="1" t="s">
        <v>1121</v>
      </c>
      <c r="F813" s="1" t="s">
        <v>1083</v>
      </c>
      <c r="G813" s="1" t="s">
        <v>1084</v>
      </c>
      <c r="H813">
        <v>33</v>
      </c>
      <c r="I813">
        <v>42187</v>
      </c>
      <c r="J813">
        <v>133908</v>
      </c>
      <c r="K813">
        <v>0.15</v>
      </c>
      <c r="L813" s="1"/>
      <c r="M813" s="1" t="s">
        <v>1093</v>
      </c>
      <c r="N813" t="s">
        <v>1241</v>
      </c>
    </row>
    <row r="814" spans="1:14">
      <c r="A814" s="1" t="s">
        <v>3306</v>
      </c>
      <c r="B814" s="1" t="s">
        <v>3307</v>
      </c>
      <c r="C814" s="1" t="s">
        <v>1136</v>
      </c>
      <c r="D814" s="1"/>
      <c r="E814" s="1" t="s">
        <v>1082</v>
      </c>
      <c r="F814" s="1" t="s">
        <v>1105</v>
      </c>
      <c r="G814" s="1" t="s">
        <v>1084</v>
      </c>
      <c r="H814">
        <v>48</v>
      </c>
      <c r="I814" t="s">
        <v>3308</v>
      </c>
      <c r="J814">
        <v>100652</v>
      </c>
      <c r="K814">
        <v>7.0000000000000007E-2</v>
      </c>
      <c r="L814" s="1"/>
      <c r="M814" s="1" t="s">
        <v>1137</v>
      </c>
      <c r="N814" t="s">
        <v>1241</v>
      </c>
    </row>
    <row r="815" spans="1:14">
      <c r="A815" s="1" t="s">
        <v>3309</v>
      </c>
      <c r="B815" s="1" t="s">
        <v>3310</v>
      </c>
      <c r="C815" s="1" t="s">
        <v>1160</v>
      </c>
      <c r="D815" s="1" t="s">
        <v>1208</v>
      </c>
      <c r="E815" s="1" t="s">
        <v>1091</v>
      </c>
      <c r="F815" s="1" t="s">
        <v>1105</v>
      </c>
      <c r="G815" s="1" t="s">
        <v>1106</v>
      </c>
      <c r="H815">
        <v>48</v>
      </c>
      <c r="I815" t="s">
        <v>3311</v>
      </c>
      <c r="J815">
        <v>225725</v>
      </c>
      <c r="K815">
        <v>0.37</v>
      </c>
      <c r="L815" s="1"/>
      <c r="M815" s="1" t="s">
        <v>1116</v>
      </c>
      <c r="N815" t="s">
        <v>1241</v>
      </c>
    </row>
    <row r="816" spans="1:14">
      <c r="A816" s="1" t="s">
        <v>3312</v>
      </c>
      <c r="B816" s="1" t="s">
        <v>3313</v>
      </c>
      <c r="C816" s="1" t="s">
        <v>1160</v>
      </c>
      <c r="D816" s="1" t="s">
        <v>1208</v>
      </c>
      <c r="E816" s="1" t="s">
        <v>1121</v>
      </c>
      <c r="F816" s="1" t="s">
        <v>1105</v>
      </c>
      <c r="G816" s="1" t="s">
        <v>1133</v>
      </c>
      <c r="H816">
        <v>41</v>
      </c>
      <c r="I816">
        <v>39360</v>
      </c>
      <c r="J816">
        <v>224989</v>
      </c>
      <c r="K816">
        <v>0.33</v>
      </c>
      <c r="L816" s="1"/>
      <c r="M816" s="1" t="s">
        <v>1107</v>
      </c>
      <c r="N816" t="s">
        <v>1241</v>
      </c>
    </row>
    <row r="817" spans="1:14">
      <c r="A817" s="1" t="s">
        <v>3314</v>
      </c>
      <c r="B817" s="1" t="s">
        <v>3315</v>
      </c>
      <c r="C817" s="1" t="s">
        <v>1632</v>
      </c>
      <c r="D817" s="1" t="s">
        <v>1081</v>
      </c>
      <c r="E817" s="1" t="s">
        <v>1121</v>
      </c>
      <c r="F817" s="1" t="s">
        <v>1105</v>
      </c>
      <c r="G817" s="1" t="s">
        <v>1133</v>
      </c>
      <c r="H817">
        <v>37</v>
      </c>
      <c r="I817">
        <v>44874</v>
      </c>
      <c r="J817">
        <v>109680</v>
      </c>
      <c r="K817">
        <v>0</v>
      </c>
      <c r="L817" s="1" t="s">
        <v>1085</v>
      </c>
      <c r="M817" s="1"/>
      <c r="N817" t="s">
        <v>1241</v>
      </c>
    </row>
    <row r="818" spans="1:14">
      <c r="A818" s="1" t="s">
        <v>3316</v>
      </c>
      <c r="B818" s="1" t="s">
        <v>3317</v>
      </c>
      <c r="C818" s="1" t="s">
        <v>1591</v>
      </c>
      <c r="D818" s="1" t="s">
        <v>1090</v>
      </c>
      <c r="E818" s="1" t="s">
        <v>1098</v>
      </c>
      <c r="F818" s="1" t="s">
        <v>1083</v>
      </c>
      <c r="G818" s="1" t="s">
        <v>1106</v>
      </c>
      <c r="H818">
        <v>55</v>
      </c>
      <c r="I818" t="s">
        <v>3318</v>
      </c>
      <c r="J818">
        <v>74216</v>
      </c>
      <c r="K818">
        <v>0</v>
      </c>
      <c r="L818" s="1" t="s">
        <v>1221</v>
      </c>
      <c r="M818" s="1" t="s">
        <v>1443</v>
      </c>
      <c r="N818" t="s">
        <v>1241</v>
      </c>
    </row>
    <row r="819" spans="1:14">
      <c r="A819" s="1" t="s">
        <v>3319</v>
      </c>
      <c r="B819" s="1" t="s">
        <v>3320</v>
      </c>
      <c r="C819" s="1" t="s">
        <v>1152</v>
      </c>
      <c r="D819" s="1" t="s">
        <v>1148</v>
      </c>
      <c r="E819" s="1" t="s">
        <v>1091</v>
      </c>
      <c r="F819" s="1" t="s">
        <v>1105</v>
      </c>
      <c r="G819" s="1" t="s">
        <v>1084</v>
      </c>
      <c r="H819">
        <v>37</v>
      </c>
      <c r="I819">
        <v>44291</v>
      </c>
      <c r="J819">
        <v>151363</v>
      </c>
      <c r="K819">
        <v>0.12</v>
      </c>
      <c r="L819" s="1" t="s">
        <v>1085</v>
      </c>
      <c r="M819" s="1" t="s">
        <v>1137</v>
      </c>
      <c r="N819" t="s">
        <v>1241</v>
      </c>
    </row>
    <row r="820" spans="1:14">
      <c r="A820" s="1" t="s">
        <v>3321</v>
      </c>
      <c r="B820" s="1" t="s">
        <v>3322</v>
      </c>
      <c r="C820" s="1" t="s">
        <v>1384</v>
      </c>
      <c r="D820" s="1" t="s">
        <v>1208</v>
      </c>
      <c r="E820" s="1" t="s">
        <v>1098</v>
      </c>
      <c r="F820" s="1" t="s">
        <v>1105</v>
      </c>
      <c r="G820" s="1" t="s">
        <v>1106</v>
      </c>
      <c r="H820">
        <v>58</v>
      </c>
      <c r="I820" t="s">
        <v>3323</v>
      </c>
      <c r="J820">
        <v>62686</v>
      </c>
      <c r="K820">
        <v>0</v>
      </c>
      <c r="L820" s="1" t="s">
        <v>1085</v>
      </c>
      <c r="M820" s="1" t="s">
        <v>1116</v>
      </c>
      <c r="N820" t="s">
        <v>1241</v>
      </c>
    </row>
    <row r="821" spans="1:14">
      <c r="A821" s="1" t="s">
        <v>3324</v>
      </c>
      <c r="B821" s="1" t="s">
        <v>3325</v>
      </c>
      <c r="C821" s="1" t="s">
        <v>1110</v>
      </c>
      <c r="D821" s="1" t="s">
        <v>1208</v>
      </c>
      <c r="E821" s="1" t="s">
        <v>1098</v>
      </c>
      <c r="F821" s="1" t="s">
        <v>1105</v>
      </c>
      <c r="G821" s="1" t="s">
        <v>1153</v>
      </c>
      <c r="H821">
        <v>51</v>
      </c>
      <c r="I821">
        <v>42339</v>
      </c>
      <c r="J821">
        <v>178218</v>
      </c>
      <c r="K821">
        <v>0.27</v>
      </c>
      <c r="L821" s="1" t="s">
        <v>1085</v>
      </c>
      <c r="M821" s="1" t="s">
        <v>1137</v>
      </c>
      <c r="N821" t="s">
        <v>1241</v>
      </c>
    </row>
    <row r="822" spans="1:14">
      <c r="A822" s="1"/>
      <c r="B822" s="1" t="s">
        <v>3326</v>
      </c>
      <c r="C822" s="1" t="s">
        <v>1216</v>
      </c>
      <c r="D822" s="1" t="s">
        <v>1081</v>
      </c>
      <c r="E822" s="1" t="s">
        <v>1091</v>
      </c>
      <c r="F822" s="1" t="s">
        <v>1105</v>
      </c>
      <c r="G822" s="1" t="s">
        <v>1084</v>
      </c>
      <c r="H822">
        <v>37</v>
      </c>
      <c r="I822" t="s">
        <v>3327</v>
      </c>
      <c r="J822">
        <v>69125</v>
      </c>
      <c r="K822">
        <v>0</v>
      </c>
      <c r="L822" s="1" t="s">
        <v>1085</v>
      </c>
      <c r="M822" s="1" t="s">
        <v>1112</v>
      </c>
      <c r="N822" t="s">
        <v>1241</v>
      </c>
    </row>
    <row r="823" spans="1:14">
      <c r="A823" s="1" t="s">
        <v>3328</v>
      </c>
      <c r="B823" s="1"/>
      <c r="C823" s="1"/>
      <c r="D823" s="1" t="s">
        <v>1127</v>
      </c>
      <c r="E823" s="1" t="s">
        <v>1121</v>
      </c>
      <c r="F823" s="1" t="s">
        <v>1105</v>
      </c>
      <c r="G823" s="1" t="s">
        <v>1084</v>
      </c>
      <c r="H823">
        <v>43</v>
      </c>
      <c r="I823">
        <v>38899</v>
      </c>
      <c r="J823">
        <v>161376</v>
      </c>
      <c r="K823">
        <v>0.24</v>
      </c>
      <c r="L823" s="1" t="s">
        <v>1100</v>
      </c>
      <c r="M823" s="1" t="s">
        <v>1188</v>
      </c>
      <c r="N823" t="s">
        <v>1241</v>
      </c>
    </row>
    <row r="824" spans="1:14">
      <c r="A824" s="1" t="s">
        <v>3329</v>
      </c>
      <c r="B824" s="1" t="s">
        <v>3330</v>
      </c>
      <c r="C824" s="1" t="s">
        <v>1177</v>
      </c>
      <c r="D824" s="1"/>
      <c r="E824" s="1" t="s">
        <v>1098</v>
      </c>
      <c r="F824" s="1" t="s">
        <v>1105</v>
      </c>
      <c r="G824" s="1" t="s">
        <v>1133</v>
      </c>
      <c r="H824">
        <v>26</v>
      </c>
      <c r="I824" t="s">
        <v>2191</v>
      </c>
      <c r="J824">
        <v>59436</v>
      </c>
      <c r="K824">
        <v>0</v>
      </c>
      <c r="L824" s="1" t="s">
        <v>1085</v>
      </c>
      <c r="M824" s="1" t="s">
        <v>1086</v>
      </c>
      <c r="N824" t="s">
        <v>1241</v>
      </c>
    </row>
    <row r="825" spans="1:14">
      <c r="A825" s="1" t="s">
        <v>3331</v>
      </c>
      <c r="B825" s="1" t="s">
        <v>3332</v>
      </c>
      <c r="C825" s="1" t="s">
        <v>1177</v>
      </c>
      <c r="D825" s="1" t="s">
        <v>1090</v>
      </c>
      <c r="E825" s="1"/>
      <c r="F825" s="1" t="s">
        <v>1083</v>
      </c>
      <c r="G825" s="1" t="s">
        <v>1133</v>
      </c>
      <c r="H825">
        <v>35</v>
      </c>
      <c r="I825" t="s">
        <v>3333</v>
      </c>
      <c r="J825">
        <v>58733</v>
      </c>
      <c r="K825">
        <v>0</v>
      </c>
      <c r="L825" s="1" t="s">
        <v>1085</v>
      </c>
      <c r="M825" s="1" t="s">
        <v>1137</v>
      </c>
      <c r="N825" t="s">
        <v>1241</v>
      </c>
    </row>
    <row r="826" spans="1:14">
      <c r="A826" s="1" t="s">
        <v>3334</v>
      </c>
      <c r="B826" s="1" t="s">
        <v>3335</v>
      </c>
      <c r="C826" s="1" t="s">
        <v>1119</v>
      </c>
      <c r="D826" s="1"/>
      <c r="E826" s="1" t="s">
        <v>1091</v>
      </c>
      <c r="F826" s="1" t="s">
        <v>1083</v>
      </c>
      <c r="G826" s="1" t="s">
        <v>1084</v>
      </c>
      <c r="H826">
        <v>61</v>
      </c>
      <c r="I826" t="s">
        <v>3336</v>
      </c>
      <c r="J826">
        <v>88681</v>
      </c>
      <c r="K826">
        <v>0</v>
      </c>
      <c r="L826" s="1" t="s">
        <v>1100</v>
      </c>
      <c r="M826" s="1" t="s">
        <v>1101</v>
      </c>
      <c r="N826" t="s">
        <v>1241</v>
      </c>
    </row>
    <row r="827" spans="1:14">
      <c r="A827" s="1" t="s">
        <v>3337</v>
      </c>
      <c r="B827" s="1" t="s">
        <v>3338</v>
      </c>
      <c r="C827" s="1"/>
      <c r="D827" s="1" t="s">
        <v>1127</v>
      </c>
      <c r="E827" s="1" t="s">
        <v>1121</v>
      </c>
      <c r="F827" s="1" t="s">
        <v>1083</v>
      </c>
      <c r="G827" s="1" t="s">
        <v>1084</v>
      </c>
      <c r="H827">
        <v>59</v>
      </c>
      <c r="I827">
        <v>39693</v>
      </c>
      <c r="J827">
        <v>186854</v>
      </c>
      <c r="K827">
        <v>0.3</v>
      </c>
      <c r="L827" s="1" t="s">
        <v>1085</v>
      </c>
      <c r="M827" s="1" t="s">
        <v>1116</v>
      </c>
      <c r="N827" t="s">
        <v>1241</v>
      </c>
    </row>
    <row r="828" spans="1:14">
      <c r="A828" s="1" t="s">
        <v>3339</v>
      </c>
      <c r="B828" s="1"/>
      <c r="C828" s="1" t="s">
        <v>1119</v>
      </c>
      <c r="D828" s="1" t="s">
        <v>1127</v>
      </c>
      <c r="E828" s="1" t="s">
        <v>1082</v>
      </c>
      <c r="F828" s="1" t="s">
        <v>1105</v>
      </c>
      <c r="G828" s="1" t="s">
        <v>1084</v>
      </c>
      <c r="H828">
        <v>65</v>
      </c>
      <c r="I828">
        <v>35710</v>
      </c>
      <c r="J828">
        <v>96897</v>
      </c>
      <c r="K828">
        <v>0</v>
      </c>
      <c r="L828" s="1" t="s">
        <v>1100</v>
      </c>
      <c r="M828" s="1" t="s">
        <v>1129</v>
      </c>
      <c r="N828" t="s">
        <v>1241</v>
      </c>
    </row>
    <row r="829" spans="1:14">
      <c r="A829" s="1" t="s">
        <v>3340</v>
      </c>
      <c r="B829" s="1" t="s">
        <v>3341</v>
      </c>
      <c r="C829" s="1" t="s">
        <v>1136</v>
      </c>
      <c r="D829" s="1" t="s">
        <v>1208</v>
      </c>
      <c r="E829" s="1" t="s">
        <v>1091</v>
      </c>
      <c r="F829" s="1" t="s">
        <v>1105</v>
      </c>
      <c r="G829" s="1" t="s">
        <v>1133</v>
      </c>
      <c r="H829">
        <v>55</v>
      </c>
      <c r="I829" t="s">
        <v>3342</v>
      </c>
      <c r="J829">
        <v>128954</v>
      </c>
      <c r="K829">
        <v>0.05</v>
      </c>
      <c r="L829" s="1" t="s">
        <v>1085</v>
      </c>
      <c r="M829" s="1" t="s">
        <v>1116</v>
      </c>
      <c r="N829" t="s">
        <v>1241</v>
      </c>
    </row>
    <row r="830" spans="1:14">
      <c r="A830" s="1" t="s">
        <v>3343</v>
      </c>
      <c r="B830" s="1"/>
      <c r="C830" s="1" t="s">
        <v>1177</v>
      </c>
      <c r="D830" s="1" t="s">
        <v>1090</v>
      </c>
      <c r="E830" s="1" t="s">
        <v>1121</v>
      </c>
      <c r="F830" s="1" t="s">
        <v>1083</v>
      </c>
      <c r="G830" s="1" t="s">
        <v>1084</v>
      </c>
      <c r="H830">
        <v>51</v>
      </c>
      <c r="I830" t="s">
        <v>3344</v>
      </c>
      <c r="J830">
        <v>67418</v>
      </c>
      <c r="K830">
        <v>0</v>
      </c>
      <c r="L830" s="1" t="s">
        <v>1100</v>
      </c>
      <c r="M830" s="1" t="s">
        <v>1101</v>
      </c>
      <c r="N830" t="s">
        <v>1241</v>
      </c>
    </row>
    <row r="831" spans="1:14">
      <c r="A831" s="1"/>
      <c r="B831" s="1"/>
      <c r="C831" s="1" t="s">
        <v>1136</v>
      </c>
      <c r="D831" s="1" t="s">
        <v>1120</v>
      </c>
      <c r="E831" s="1" t="s">
        <v>1121</v>
      </c>
      <c r="F831" s="1" t="s">
        <v>1083</v>
      </c>
      <c r="G831" s="1" t="s">
        <v>1133</v>
      </c>
      <c r="H831">
        <v>53</v>
      </c>
      <c r="I831">
        <v>41920</v>
      </c>
      <c r="J831">
        <v>125545</v>
      </c>
      <c r="K831">
        <v>0.06</v>
      </c>
      <c r="L831" s="1" t="s">
        <v>1085</v>
      </c>
      <c r="M831" s="1" t="s">
        <v>1112</v>
      </c>
      <c r="N831" t="s">
        <v>1241</v>
      </c>
    </row>
    <row r="832" spans="1:14">
      <c r="A832" s="1" t="s">
        <v>3345</v>
      </c>
      <c r="B832" s="1" t="s">
        <v>3346</v>
      </c>
      <c r="C832" s="1"/>
      <c r="D832" s="1" t="s">
        <v>1097</v>
      </c>
      <c r="E832" s="1" t="s">
        <v>1098</v>
      </c>
      <c r="F832" s="1" t="s">
        <v>1105</v>
      </c>
      <c r="G832" s="1" t="s">
        <v>1106</v>
      </c>
      <c r="H832">
        <v>47</v>
      </c>
      <c r="I832" t="s">
        <v>3347</v>
      </c>
      <c r="J832">
        <v>125641</v>
      </c>
      <c r="K832">
        <v>0.05</v>
      </c>
      <c r="L832" s="1" t="s">
        <v>1085</v>
      </c>
      <c r="M832" s="1" t="s">
        <v>1107</v>
      </c>
      <c r="N832" t="s">
        <v>1241</v>
      </c>
    </row>
    <row r="833" spans="1:14">
      <c r="A833" s="1" t="s">
        <v>3348</v>
      </c>
      <c r="B833" s="1" t="s">
        <v>3349</v>
      </c>
      <c r="C833" s="1" t="s">
        <v>1136</v>
      </c>
      <c r="D833" s="1"/>
      <c r="E833" s="1" t="s">
        <v>1091</v>
      </c>
      <c r="F833" s="1" t="s">
        <v>1083</v>
      </c>
      <c r="G833" s="1" t="s">
        <v>1084</v>
      </c>
      <c r="H833">
        <v>53</v>
      </c>
      <c r="I833">
        <v>34193</v>
      </c>
      <c r="J833">
        <v>100666</v>
      </c>
      <c r="K833">
        <v>0.1</v>
      </c>
      <c r="L833" s="1" t="s">
        <v>1100</v>
      </c>
      <c r="M833" s="1" t="s">
        <v>1188</v>
      </c>
      <c r="N833" t="s">
        <v>1241</v>
      </c>
    </row>
    <row r="834" spans="1:14">
      <c r="A834" s="1" t="s">
        <v>3350</v>
      </c>
      <c r="B834" s="1" t="s">
        <v>3351</v>
      </c>
      <c r="C834" s="1" t="s">
        <v>1384</v>
      </c>
      <c r="D834" s="1" t="s">
        <v>1208</v>
      </c>
      <c r="E834" s="1"/>
      <c r="F834" s="1" t="s">
        <v>1083</v>
      </c>
      <c r="G834" s="1" t="s">
        <v>1084</v>
      </c>
      <c r="H834">
        <v>38</v>
      </c>
      <c r="I834">
        <v>40513</v>
      </c>
      <c r="J834">
        <v>71235</v>
      </c>
      <c r="K834">
        <v>0</v>
      </c>
      <c r="L834" s="1" t="s">
        <v>1100</v>
      </c>
      <c r="M834" s="1" t="s">
        <v>1123</v>
      </c>
      <c r="N834" t="s">
        <v>1241</v>
      </c>
    </row>
    <row r="835" spans="1:14">
      <c r="A835" s="1" t="s">
        <v>3352</v>
      </c>
      <c r="B835" s="1" t="s">
        <v>3353</v>
      </c>
      <c r="C835" s="1" t="s">
        <v>1364</v>
      </c>
      <c r="D835" s="1"/>
      <c r="E835" s="1" t="s">
        <v>1091</v>
      </c>
      <c r="F835" s="1"/>
      <c r="G835" s="1" t="s">
        <v>1084</v>
      </c>
      <c r="H835">
        <v>28</v>
      </c>
      <c r="I835" t="s">
        <v>3354</v>
      </c>
      <c r="J835">
        <v>83235</v>
      </c>
      <c r="K835">
        <v>0</v>
      </c>
      <c r="L835" s="1" t="s">
        <v>1085</v>
      </c>
      <c r="M835" s="1" t="s">
        <v>1112</v>
      </c>
      <c r="N835" t="s">
        <v>1241</v>
      </c>
    </row>
    <row r="836" spans="1:14">
      <c r="A836" s="1" t="s">
        <v>3355</v>
      </c>
      <c r="B836" s="1" t="s">
        <v>3356</v>
      </c>
      <c r="C836" s="1"/>
      <c r="D836" s="1" t="s">
        <v>1090</v>
      </c>
      <c r="E836" s="1" t="s">
        <v>1091</v>
      </c>
      <c r="F836" s="1" t="s">
        <v>1105</v>
      </c>
      <c r="G836" s="1"/>
      <c r="H836">
        <v>32</v>
      </c>
      <c r="I836">
        <v>41860</v>
      </c>
      <c r="J836">
        <v>42075</v>
      </c>
      <c r="K836">
        <v>0</v>
      </c>
      <c r="L836" s="1" t="s">
        <v>1221</v>
      </c>
      <c r="M836" s="1" t="s">
        <v>1222</v>
      </c>
      <c r="N836" t="s">
        <v>1241</v>
      </c>
    </row>
    <row r="837" spans="1:14">
      <c r="A837" s="1" t="s">
        <v>3357</v>
      </c>
      <c r="B837" s="1"/>
      <c r="C837" s="1" t="s">
        <v>1140</v>
      </c>
      <c r="D837" s="1" t="s">
        <v>1097</v>
      </c>
      <c r="E837" s="1" t="s">
        <v>1121</v>
      </c>
      <c r="F837" s="1"/>
      <c r="G837" s="1" t="s">
        <v>1084</v>
      </c>
      <c r="H837">
        <v>52</v>
      </c>
      <c r="I837" t="s">
        <v>3358</v>
      </c>
      <c r="J837">
        <v>55020</v>
      </c>
      <c r="K837">
        <v>0</v>
      </c>
      <c r="L837" s="1" t="s">
        <v>1100</v>
      </c>
      <c r="M837" s="1" t="s">
        <v>1123</v>
      </c>
      <c r="N837" t="s">
        <v>1241</v>
      </c>
    </row>
    <row r="838" spans="1:14">
      <c r="A838" s="1" t="s">
        <v>3359</v>
      </c>
      <c r="B838" s="1" t="s">
        <v>3360</v>
      </c>
      <c r="C838" s="1"/>
      <c r="D838" s="1" t="s">
        <v>1148</v>
      </c>
      <c r="E838" s="1"/>
      <c r="F838" s="1" t="s">
        <v>1105</v>
      </c>
      <c r="G838" s="1" t="s">
        <v>1133</v>
      </c>
      <c r="H838">
        <v>64</v>
      </c>
      <c r="I838" t="s">
        <v>3361</v>
      </c>
      <c r="J838">
        <v>76506</v>
      </c>
      <c r="K838">
        <v>0</v>
      </c>
      <c r="L838" s="1" t="s">
        <v>1085</v>
      </c>
      <c r="M838" s="1" t="s">
        <v>1112</v>
      </c>
      <c r="N838" t="s">
        <v>1241</v>
      </c>
    </row>
    <row r="839" spans="1:14">
      <c r="A839" s="1" t="s">
        <v>3362</v>
      </c>
      <c r="B839" s="1" t="s">
        <v>2951</v>
      </c>
      <c r="C839" s="1"/>
      <c r="D839" s="1"/>
      <c r="E839" s="1" t="s">
        <v>1082</v>
      </c>
      <c r="F839" s="1" t="s">
        <v>1083</v>
      </c>
      <c r="G839" s="1" t="s">
        <v>1084</v>
      </c>
      <c r="H839">
        <v>55</v>
      </c>
      <c r="I839">
        <v>39144</v>
      </c>
      <c r="J839">
        <v>100051</v>
      </c>
      <c r="K839">
        <v>7.0000000000000007E-2</v>
      </c>
      <c r="L839" s="1" t="s">
        <v>1100</v>
      </c>
      <c r="M839" s="1" t="s">
        <v>1129</v>
      </c>
      <c r="N839" t="s">
        <v>1241</v>
      </c>
    </row>
    <row r="840" spans="1:14">
      <c r="A840" s="1" t="s">
        <v>3363</v>
      </c>
      <c r="B840" s="1" t="s">
        <v>3364</v>
      </c>
      <c r="C840" s="1"/>
      <c r="D840" s="1" t="s">
        <v>1127</v>
      </c>
      <c r="E840" s="1" t="s">
        <v>1091</v>
      </c>
      <c r="F840" s="1" t="s">
        <v>1105</v>
      </c>
      <c r="G840" s="1" t="s">
        <v>1084</v>
      </c>
      <c r="H840">
        <v>38</v>
      </c>
      <c r="I840" t="s">
        <v>3365</v>
      </c>
      <c r="J840">
        <v>256509</v>
      </c>
      <c r="K840">
        <v>0.39</v>
      </c>
      <c r="L840" s="1" t="s">
        <v>1100</v>
      </c>
      <c r="M840" s="1" t="s">
        <v>1101</v>
      </c>
      <c r="N840" t="s">
        <v>3366</v>
      </c>
    </row>
    <row r="841" spans="1:14">
      <c r="A841" s="1" t="s">
        <v>3367</v>
      </c>
      <c r="B841" s="1"/>
      <c r="C841" s="1"/>
      <c r="D841" s="1" t="s">
        <v>1081</v>
      </c>
      <c r="E841" s="1" t="s">
        <v>1121</v>
      </c>
      <c r="F841" s="1" t="s">
        <v>1105</v>
      </c>
      <c r="G841" s="1" t="s">
        <v>1106</v>
      </c>
      <c r="H841">
        <v>30</v>
      </c>
      <c r="I841" t="s">
        <v>3368</v>
      </c>
      <c r="J841">
        <v>76904</v>
      </c>
      <c r="K841">
        <v>0</v>
      </c>
      <c r="L841" s="1" t="s">
        <v>1221</v>
      </c>
      <c r="M841" s="1" t="s">
        <v>1222</v>
      </c>
      <c r="N841" t="s">
        <v>1241</v>
      </c>
    </row>
    <row r="842" spans="1:14">
      <c r="A842" s="1"/>
      <c r="B842" s="1" t="s">
        <v>3369</v>
      </c>
      <c r="C842" s="1" t="s">
        <v>1119</v>
      </c>
      <c r="D842" s="1"/>
      <c r="E842" s="1" t="s">
        <v>1098</v>
      </c>
      <c r="F842" s="1" t="s">
        <v>1083</v>
      </c>
      <c r="G842" s="1" t="s">
        <v>1084</v>
      </c>
      <c r="H842">
        <v>43</v>
      </c>
      <c r="I842">
        <v>43323</v>
      </c>
      <c r="J842">
        <v>87914</v>
      </c>
      <c r="K842">
        <v>0</v>
      </c>
      <c r="L842" s="1" t="s">
        <v>1100</v>
      </c>
      <c r="M842" s="1" t="s">
        <v>1101</v>
      </c>
      <c r="N842" t="s">
        <v>1241</v>
      </c>
    </row>
    <row r="843" spans="1:14">
      <c r="A843" s="1" t="s">
        <v>3370</v>
      </c>
      <c r="B843" s="1"/>
      <c r="C843" s="1" t="s">
        <v>1160</v>
      </c>
      <c r="D843" s="1" t="s">
        <v>1127</v>
      </c>
      <c r="E843" s="1" t="s">
        <v>1082</v>
      </c>
      <c r="F843" s="1" t="s">
        <v>1083</v>
      </c>
      <c r="G843" s="1" t="s">
        <v>1084</v>
      </c>
      <c r="H843">
        <v>40</v>
      </c>
      <c r="I843">
        <v>40301</v>
      </c>
      <c r="J843">
        <v>235994</v>
      </c>
      <c r="K843">
        <v>0.33</v>
      </c>
      <c r="L843" s="1" t="s">
        <v>1100</v>
      </c>
      <c r="M843" s="1" t="s">
        <v>1188</v>
      </c>
      <c r="N843" t="s">
        <v>1241</v>
      </c>
    </row>
    <row r="844" spans="1:14">
      <c r="A844" s="1" t="s">
        <v>3371</v>
      </c>
      <c r="B844" s="1" t="s">
        <v>3372</v>
      </c>
      <c r="C844" s="1"/>
      <c r="D844" s="1"/>
      <c r="E844" s="1" t="s">
        <v>1091</v>
      </c>
      <c r="F844" s="1" t="s">
        <v>1083</v>
      </c>
      <c r="G844" s="1" t="s">
        <v>1133</v>
      </c>
      <c r="H844">
        <v>55</v>
      </c>
      <c r="I844">
        <v>42341</v>
      </c>
      <c r="J844">
        <v>79620</v>
      </c>
      <c r="K844">
        <v>0</v>
      </c>
      <c r="L844" s="1" t="s">
        <v>1085</v>
      </c>
      <c r="M844" s="1" t="s">
        <v>1093</v>
      </c>
      <c r="N844" t="s">
        <v>1241</v>
      </c>
    </row>
    <row r="845" spans="1:14">
      <c r="A845" s="1" t="s">
        <v>3373</v>
      </c>
      <c r="B845" s="1" t="s">
        <v>3374</v>
      </c>
      <c r="C845" s="1" t="s">
        <v>1275</v>
      </c>
      <c r="D845" s="1" t="s">
        <v>1097</v>
      </c>
      <c r="E845" s="1"/>
      <c r="F845" s="1" t="s">
        <v>1105</v>
      </c>
      <c r="G845" s="1" t="s">
        <v>1133</v>
      </c>
      <c r="H845">
        <v>36</v>
      </c>
      <c r="I845">
        <v>40274</v>
      </c>
      <c r="J845">
        <v>62450</v>
      </c>
      <c r="K845">
        <v>0</v>
      </c>
      <c r="L845" s="1" t="s">
        <v>1085</v>
      </c>
      <c r="M845" s="1" t="s">
        <v>1112</v>
      </c>
      <c r="N845" t="s">
        <v>1241</v>
      </c>
    </row>
    <row r="846" spans="1:14">
      <c r="A846" s="1" t="s">
        <v>3375</v>
      </c>
      <c r="B846" s="1" t="s">
        <v>3376</v>
      </c>
      <c r="C846" s="1" t="s">
        <v>1152</v>
      </c>
      <c r="D846" s="1" t="s">
        <v>1208</v>
      </c>
      <c r="E846" s="1"/>
      <c r="F846" s="1" t="s">
        <v>1083</v>
      </c>
      <c r="G846" s="1" t="s">
        <v>1106</v>
      </c>
      <c r="H846">
        <v>47</v>
      </c>
      <c r="I846" t="s">
        <v>3377</v>
      </c>
      <c r="J846">
        <v>134612</v>
      </c>
      <c r="K846">
        <v>0.12</v>
      </c>
      <c r="L846" s="1" t="s">
        <v>1085</v>
      </c>
      <c r="M846" s="1" t="s">
        <v>1112</v>
      </c>
      <c r="N846" t="s">
        <v>3378</v>
      </c>
    </row>
    <row r="847" spans="1:14">
      <c r="A847" s="1" t="s">
        <v>3379</v>
      </c>
      <c r="B847" s="1" t="s">
        <v>3380</v>
      </c>
      <c r="C847" s="1" t="s">
        <v>1140</v>
      </c>
      <c r="D847" s="1" t="s">
        <v>1097</v>
      </c>
      <c r="E847" s="1" t="s">
        <v>1098</v>
      </c>
      <c r="F847" s="1" t="s">
        <v>1105</v>
      </c>
      <c r="G847" s="1" t="s">
        <v>1084</v>
      </c>
      <c r="H847">
        <v>59</v>
      </c>
      <c r="I847" t="s">
        <v>3381</v>
      </c>
      <c r="J847">
        <v>46151</v>
      </c>
      <c r="K847">
        <v>0</v>
      </c>
      <c r="L847" s="1" t="s">
        <v>1085</v>
      </c>
      <c r="M847" s="1" t="s">
        <v>1116</v>
      </c>
      <c r="N847" t="s">
        <v>1241</v>
      </c>
    </row>
    <row r="848" spans="1:14">
      <c r="A848" s="1" t="s">
        <v>3382</v>
      </c>
      <c r="B848" s="1" t="s">
        <v>3383</v>
      </c>
      <c r="C848" s="1" t="s">
        <v>1528</v>
      </c>
      <c r="D848" s="1" t="s">
        <v>1097</v>
      </c>
      <c r="E848" s="1" t="s">
        <v>1082</v>
      </c>
      <c r="F848" s="1" t="s">
        <v>1105</v>
      </c>
      <c r="G848" s="1" t="s">
        <v>1133</v>
      </c>
      <c r="H848">
        <v>40</v>
      </c>
      <c r="I848">
        <v>39510</v>
      </c>
      <c r="J848">
        <v>63889</v>
      </c>
      <c r="K848">
        <v>0</v>
      </c>
      <c r="L848" s="1" t="s">
        <v>1085</v>
      </c>
      <c r="M848" s="1" t="s">
        <v>1107</v>
      </c>
      <c r="N848" t="s">
        <v>1624</v>
      </c>
    </row>
    <row r="849" spans="1:14">
      <c r="A849" s="1" t="s">
        <v>3384</v>
      </c>
      <c r="B849" s="1" t="s">
        <v>3385</v>
      </c>
      <c r="C849" s="1" t="s">
        <v>1216</v>
      </c>
      <c r="D849" s="1" t="s">
        <v>1081</v>
      </c>
      <c r="E849" s="1" t="s">
        <v>1091</v>
      </c>
      <c r="F849" s="1" t="s">
        <v>1105</v>
      </c>
      <c r="G849" s="1" t="s">
        <v>1106</v>
      </c>
      <c r="H849">
        <v>53</v>
      </c>
      <c r="I849" t="s">
        <v>3386</v>
      </c>
      <c r="J849">
        <v>75060</v>
      </c>
      <c r="K849">
        <v>0</v>
      </c>
      <c r="L849" s="1" t="s">
        <v>1085</v>
      </c>
      <c r="M849" s="1" t="s">
        <v>1086</v>
      </c>
      <c r="N849" t="s">
        <v>1241</v>
      </c>
    </row>
    <row r="850" spans="1:14">
      <c r="A850" s="1" t="s">
        <v>3387</v>
      </c>
      <c r="B850" s="1" t="s">
        <v>3388</v>
      </c>
      <c r="C850" s="1" t="s">
        <v>1110</v>
      </c>
      <c r="D850" s="1" t="s">
        <v>1097</v>
      </c>
      <c r="E850" s="1" t="s">
        <v>1082</v>
      </c>
      <c r="F850" s="1" t="s">
        <v>1105</v>
      </c>
      <c r="G850" s="1" t="s">
        <v>1084</v>
      </c>
      <c r="H850">
        <v>50</v>
      </c>
      <c r="I850" t="s">
        <v>3389</v>
      </c>
      <c r="J850">
        <v>175033</v>
      </c>
      <c r="K850">
        <v>0.2</v>
      </c>
      <c r="L850" s="1" t="s">
        <v>1100</v>
      </c>
      <c r="M850" s="1" t="s">
        <v>1188</v>
      </c>
      <c r="N850" t="s">
        <v>1241</v>
      </c>
    </row>
    <row r="851" spans="1:14">
      <c r="A851" s="1" t="s">
        <v>3390</v>
      </c>
      <c r="B851" s="1" t="s">
        <v>3391</v>
      </c>
      <c r="C851" s="1" t="s">
        <v>1294</v>
      </c>
      <c r="D851" s="1" t="s">
        <v>1097</v>
      </c>
      <c r="E851" s="1" t="s">
        <v>1121</v>
      </c>
      <c r="F851" s="1" t="s">
        <v>1105</v>
      </c>
      <c r="G851" s="1" t="s">
        <v>1133</v>
      </c>
      <c r="H851">
        <v>52</v>
      </c>
      <c r="I851" t="s">
        <v>3392</v>
      </c>
      <c r="J851">
        <v>89379</v>
      </c>
      <c r="K851">
        <v>0.1</v>
      </c>
      <c r="L851" s="1" t="s">
        <v>1085</v>
      </c>
      <c r="M851" s="1" t="s">
        <v>1107</v>
      </c>
      <c r="N851">
        <v>44871</v>
      </c>
    </row>
    <row r="852" spans="1:14">
      <c r="A852" s="1" t="s">
        <v>3393</v>
      </c>
      <c r="B852" s="1" t="s">
        <v>3394</v>
      </c>
      <c r="C852" s="1" t="s">
        <v>1080</v>
      </c>
      <c r="D852" s="1" t="s">
        <v>1081</v>
      </c>
      <c r="E852" s="1" t="s">
        <v>1091</v>
      </c>
      <c r="F852" s="1" t="s">
        <v>1105</v>
      </c>
      <c r="G852" s="1" t="s">
        <v>1153</v>
      </c>
      <c r="H852">
        <v>40</v>
      </c>
      <c r="I852">
        <v>40790</v>
      </c>
      <c r="J852">
        <v>98594</v>
      </c>
      <c r="K852">
        <v>0</v>
      </c>
      <c r="L852" s="1" t="s">
        <v>1085</v>
      </c>
      <c r="M852" s="1" t="s">
        <v>1116</v>
      </c>
      <c r="N852" t="s">
        <v>1241</v>
      </c>
    </row>
    <row r="853" spans="1:14">
      <c r="A853" s="1" t="s">
        <v>3395</v>
      </c>
      <c r="B853" s="1" t="s">
        <v>3396</v>
      </c>
      <c r="C853" s="1" t="s">
        <v>1160</v>
      </c>
      <c r="D853" s="1" t="s">
        <v>1148</v>
      </c>
      <c r="E853" s="1" t="s">
        <v>1098</v>
      </c>
      <c r="F853" s="1" t="s">
        <v>1105</v>
      </c>
      <c r="G853" s="1" t="s">
        <v>1133</v>
      </c>
      <c r="H853">
        <v>39</v>
      </c>
      <c r="I853">
        <v>44326</v>
      </c>
      <c r="J853">
        <v>224435</v>
      </c>
      <c r="K853">
        <v>0.33</v>
      </c>
      <c r="L853" s="1" t="s">
        <v>1085</v>
      </c>
      <c r="M853" s="1" t="s">
        <v>1107</v>
      </c>
      <c r="N853" t="s">
        <v>1241</v>
      </c>
    </row>
    <row r="854" spans="1:14">
      <c r="A854" s="1" t="s">
        <v>3397</v>
      </c>
      <c r="B854" s="1" t="s">
        <v>3398</v>
      </c>
      <c r="C854" s="1" t="s">
        <v>1173</v>
      </c>
      <c r="D854" s="1" t="s">
        <v>1097</v>
      </c>
      <c r="E854" s="1" t="s">
        <v>1091</v>
      </c>
      <c r="F854" s="1" t="s">
        <v>1083</v>
      </c>
      <c r="G854" s="1" t="s">
        <v>1106</v>
      </c>
      <c r="H854">
        <v>31</v>
      </c>
      <c r="I854" t="s">
        <v>3399</v>
      </c>
      <c r="J854">
        <v>63644</v>
      </c>
      <c r="K854">
        <v>0</v>
      </c>
      <c r="L854" s="1" t="s">
        <v>1221</v>
      </c>
      <c r="M854" s="1" t="s">
        <v>1443</v>
      </c>
      <c r="N854" t="s">
        <v>1241</v>
      </c>
    </row>
    <row r="855" spans="1:14">
      <c r="A855" s="1" t="s">
        <v>3400</v>
      </c>
      <c r="B855" s="1" t="s">
        <v>3401</v>
      </c>
      <c r="C855" s="1" t="s">
        <v>1136</v>
      </c>
      <c r="D855" s="1" t="s">
        <v>1120</v>
      </c>
      <c r="E855" s="1" t="s">
        <v>1082</v>
      </c>
      <c r="F855" s="1" t="s">
        <v>1105</v>
      </c>
      <c r="G855" s="1" t="s">
        <v>1084</v>
      </c>
      <c r="H855">
        <v>30</v>
      </c>
      <c r="I855" t="s">
        <v>2750</v>
      </c>
      <c r="J855">
        <v>121234</v>
      </c>
      <c r="K855">
        <v>0.05</v>
      </c>
      <c r="L855" s="1" t="s">
        <v>1085</v>
      </c>
      <c r="M855" s="1" t="s">
        <v>1112</v>
      </c>
      <c r="N855" t="s">
        <v>1241</v>
      </c>
    </row>
    <row r="856" spans="1:14">
      <c r="A856" s="1" t="s">
        <v>3402</v>
      </c>
      <c r="B856" s="1" t="s">
        <v>3403</v>
      </c>
      <c r="C856" s="1" t="s">
        <v>1119</v>
      </c>
      <c r="D856" s="1" t="s">
        <v>1120</v>
      </c>
      <c r="E856" s="1" t="s">
        <v>1098</v>
      </c>
      <c r="F856" s="1" t="s">
        <v>1083</v>
      </c>
      <c r="G856" s="1" t="s">
        <v>1106</v>
      </c>
      <c r="H856">
        <v>47</v>
      </c>
      <c r="I856" t="s">
        <v>3404</v>
      </c>
      <c r="J856">
        <v>83793</v>
      </c>
      <c r="K856">
        <v>0</v>
      </c>
      <c r="L856" s="1" t="s">
        <v>1085</v>
      </c>
      <c r="M856" s="1" t="s">
        <v>1137</v>
      </c>
      <c r="N856" t="s">
        <v>1241</v>
      </c>
    </row>
    <row r="857" spans="1:14">
      <c r="A857" s="1" t="s">
        <v>3405</v>
      </c>
      <c r="B857" s="1" t="s">
        <v>3406</v>
      </c>
      <c r="C857" s="1" t="s">
        <v>1216</v>
      </c>
      <c r="D857" s="1" t="s">
        <v>1081</v>
      </c>
      <c r="E857" s="1" t="s">
        <v>1098</v>
      </c>
      <c r="F857" s="1" t="s">
        <v>1105</v>
      </c>
      <c r="G857" s="1" t="s">
        <v>1133</v>
      </c>
      <c r="H857">
        <v>46</v>
      </c>
      <c r="I857" t="s">
        <v>3407</v>
      </c>
      <c r="J857">
        <v>99586</v>
      </c>
      <c r="K857">
        <v>0</v>
      </c>
      <c r="L857" s="1" t="s">
        <v>1085</v>
      </c>
      <c r="M857" s="1" t="s">
        <v>1137</v>
      </c>
      <c r="N857" t="s">
        <v>1241</v>
      </c>
    </row>
    <row r="858" spans="1:14">
      <c r="A858" s="1" t="s">
        <v>3408</v>
      </c>
      <c r="B858" s="1" t="s">
        <v>3409</v>
      </c>
      <c r="C858" s="1" t="s">
        <v>1213</v>
      </c>
      <c r="D858" s="1" t="s">
        <v>1208</v>
      </c>
      <c r="E858" s="1" t="s">
        <v>1091</v>
      </c>
      <c r="F858" s="1" t="s">
        <v>1105</v>
      </c>
      <c r="G858" s="1" t="s">
        <v>1106</v>
      </c>
      <c r="H858">
        <v>43</v>
      </c>
      <c r="I858">
        <v>39030</v>
      </c>
      <c r="J858">
        <v>59514</v>
      </c>
      <c r="K858">
        <v>0</v>
      </c>
      <c r="L858" s="1" t="s">
        <v>1221</v>
      </c>
      <c r="M858" s="1" t="s">
        <v>1222</v>
      </c>
      <c r="N858" t="s">
        <v>1241</v>
      </c>
    </row>
    <row r="859" spans="1:14">
      <c r="A859" s="1" t="s">
        <v>3410</v>
      </c>
      <c r="B859" s="1" t="s">
        <v>3411</v>
      </c>
      <c r="C859" s="1" t="s">
        <v>1136</v>
      </c>
      <c r="D859" s="1" t="s">
        <v>1148</v>
      </c>
      <c r="E859" s="1" t="s">
        <v>1091</v>
      </c>
      <c r="F859" s="1" t="s">
        <v>1105</v>
      </c>
      <c r="G859" s="1" t="s">
        <v>1133</v>
      </c>
      <c r="H859">
        <v>28</v>
      </c>
      <c r="I859" t="s">
        <v>3412</v>
      </c>
      <c r="J859">
        <v>106043</v>
      </c>
      <c r="K859">
        <v>0.1</v>
      </c>
      <c r="L859" s="1" t="s">
        <v>1085</v>
      </c>
      <c r="M859" s="1" t="s">
        <v>1086</v>
      </c>
      <c r="N859" t="s">
        <v>1241</v>
      </c>
    </row>
    <row r="860" spans="1:14">
      <c r="A860" s="1" t="s">
        <v>3413</v>
      </c>
      <c r="B860" s="1" t="s">
        <v>3414</v>
      </c>
      <c r="C860" s="1" t="s">
        <v>1358</v>
      </c>
      <c r="D860" s="1" t="s">
        <v>1097</v>
      </c>
      <c r="E860" s="1"/>
      <c r="F860" s="1" t="s">
        <v>1083</v>
      </c>
      <c r="G860" s="1" t="s">
        <v>1084</v>
      </c>
      <c r="H860">
        <v>47</v>
      </c>
      <c r="I860">
        <v>38695</v>
      </c>
      <c r="J860">
        <v>78985</v>
      </c>
      <c r="K860">
        <v>0</v>
      </c>
      <c r="L860" s="1" t="s">
        <v>1100</v>
      </c>
      <c r="M860" s="1" t="s">
        <v>1188</v>
      </c>
      <c r="N860" t="s">
        <v>1241</v>
      </c>
    </row>
    <row r="861" spans="1:14">
      <c r="A861" s="1" t="s">
        <v>3415</v>
      </c>
      <c r="B861" s="1" t="s">
        <v>3416</v>
      </c>
      <c r="C861" s="1"/>
      <c r="D861" s="1"/>
      <c r="E861" s="1"/>
      <c r="F861" s="1" t="s">
        <v>1105</v>
      </c>
      <c r="G861" s="1" t="s">
        <v>1106</v>
      </c>
      <c r="H861">
        <v>43</v>
      </c>
      <c r="I861" t="s">
        <v>3417</v>
      </c>
      <c r="J861">
        <v>226122</v>
      </c>
      <c r="L861" s="1" t="s">
        <v>1221</v>
      </c>
      <c r="M861" s="1" t="s">
        <v>1443</v>
      </c>
      <c r="N861" t="s">
        <v>1241</v>
      </c>
    </row>
    <row r="862" spans="1:14">
      <c r="A862" s="1" t="s">
        <v>3418</v>
      </c>
      <c r="B862" s="1" t="s">
        <v>3419</v>
      </c>
      <c r="C862" s="1"/>
      <c r="D862" s="1" t="s">
        <v>1127</v>
      </c>
      <c r="E862" s="1"/>
      <c r="F862" s="1" t="s">
        <v>1105</v>
      </c>
      <c r="G862" s="1" t="s">
        <v>1153</v>
      </c>
      <c r="H862">
        <v>42</v>
      </c>
      <c r="I862">
        <v>41183</v>
      </c>
      <c r="J862">
        <v>110720</v>
      </c>
      <c r="L862" s="1" t="s">
        <v>1085</v>
      </c>
      <c r="M862" s="1" t="s">
        <v>1137</v>
      </c>
      <c r="N862" t="s">
        <v>1241</v>
      </c>
    </row>
    <row r="863" spans="1:14">
      <c r="A863" s="1" t="s">
        <v>3420</v>
      </c>
      <c r="B863" s="1" t="s">
        <v>3421</v>
      </c>
      <c r="C863" s="1"/>
      <c r="D863" s="1"/>
      <c r="E863" s="1"/>
      <c r="F863" s="1" t="s">
        <v>1083</v>
      </c>
      <c r="G863" s="1" t="s">
        <v>1084</v>
      </c>
      <c r="H863">
        <v>45</v>
      </c>
      <c r="I863">
        <v>40127</v>
      </c>
      <c r="J863">
        <v>152519</v>
      </c>
      <c r="K863">
        <v>0.3</v>
      </c>
      <c r="L863" s="1"/>
      <c r="M863" s="1" t="s">
        <v>1123</v>
      </c>
      <c r="N863" t="s">
        <v>1241</v>
      </c>
    </row>
    <row r="864" spans="1:14">
      <c r="A864" s="1" t="s">
        <v>3422</v>
      </c>
      <c r="B864" s="1" t="s">
        <v>3423</v>
      </c>
      <c r="C864" s="1"/>
      <c r="D864" s="1" t="s">
        <v>1081</v>
      </c>
      <c r="E864" s="1" t="s">
        <v>1091</v>
      </c>
      <c r="F864" s="1"/>
      <c r="G864" s="1" t="s">
        <v>1133</v>
      </c>
      <c r="H864">
        <v>37</v>
      </c>
      <c r="I864" t="s">
        <v>3424</v>
      </c>
      <c r="J864">
        <v>80015</v>
      </c>
      <c r="L864" s="1" t="s">
        <v>1085</v>
      </c>
      <c r="M864" s="1" t="s">
        <v>1093</v>
      </c>
      <c r="N864" t="s">
        <v>1241</v>
      </c>
    </row>
    <row r="865" spans="1:14">
      <c r="A865" s="1" t="s">
        <v>3425</v>
      </c>
      <c r="B865" s="1" t="s">
        <v>1103</v>
      </c>
      <c r="C865" s="1" t="s">
        <v>1160</v>
      </c>
      <c r="D865" s="1" t="s">
        <v>1097</v>
      </c>
      <c r="E865" s="1" t="s">
        <v>1091</v>
      </c>
      <c r="F865" s="1"/>
      <c r="G865" s="1" t="s">
        <v>1106</v>
      </c>
      <c r="H865">
        <v>46</v>
      </c>
      <c r="I865">
        <v>43870</v>
      </c>
      <c r="J865">
        <v>192286</v>
      </c>
      <c r="L865" s="1" t="s">
        <v>1221</v>
      </c>
      <c r="M865" s="1" t="s">
        <v>1222</v>
      </c>
      <c r="N865" t="s">
        <v>3426</v>
      </c>
    </row>
    <row r="866" spans="1:14">
      <c r="A866" s="1" t="s">
        <v>3427</v>
      </c>
      <c r="B866" s="1" t="s">
        <v>3428</v>
      </c>
      <c r="C866" s="1" t="s">
        <v>1213</v>
      </c>
      <c r="D866" s="1" t="s">
        <v>1208</v>
      </c>
      <c r="E866" s="1"/>
      <c r="F866" s="1" t="s">
        <v>1105</v>
      </c>
      <c r="G866" s="1" t="s">
        <v>1084</v>
      </c>
      <c r="H866">
        <v>49</v>
      </c>
      <c r="I866" t="s">
        <v>3429</v>
      </c>
      <c r="J866">
        <v>40352</v>
      </c>
      <c r="L866" s="1" t="s">
        <v>1100</v>
      </c>
      <c r="M866" s="1" t="s">
        <v>1188</v>
      </c>
      <c r="N866" t="s">
        <v>1241</v>
      </c>
    </row>
    <row r="867" spans="1:14">
      <c r="A867" s="1" t="s">
        <v>3430</v>
      </c>
      <c r="B867" s="1" t="s">
        <v>3431</v>
      </c>
      <c r="C867" s="1" t="s">
        <v>1152</v>
      </c>
      <c r="D867" s="1" t="s">
        <v>1208</v>
      </c>
      <c r="E867" s="1"/>
      <c r="F867" s="1"/>
      <c r="G867" s="1" t="s">
        <v>1133</v>
      </c>
      <c r="H867">
        <v>53</v>
      </c>
      <c r="I867" t="s">
        <v>3432</v>
      </c>
      <c r="J867">
        <v>147813</v>
      </c>
      <c r="K867">
        <v>0.13</v>
      </c>
      <c r="L867" s="1"/>
      <c r="M867" s="1" t="s">
        <v>1093</v>
      </c>
      <c r="N867" t="s">
        <v>1241</v>
      </c>
    </row>
    <row r="868" spans="1:14">
      <c r="A868" s="1" t="s">
        <v>3433</v>
      </c>
      <c r="B868" s="1" t="s">
        <v>3434</v>
      </c>
      <c r="C868" s="1" t="s">
        <v>1132</v>
      </c>
      <c r="D868" s="1" t="s">
        <v>1097</v>
      </c>
      <c r="E868" s="1"/>
      <c r="F868" s="1" t="s">
        <v>1105</v>
      </c>
      <c r="G868" s="1"/>
      <c r="H868">
        <v>61</v>
      </c>
      <c r="I868">
        <v>40304</v>
      </c>
      <c r="J868">
        <v>96404</v>
      </c>
      <c r="K868">
        <v>0</v>
      </c>
      <c r="L868" s="1"/>
      <c r="M868" s="1" t="s">
        <v>1129</v>
      </c>
      <c r="N868" t="s">
        <v>1241</v>
      </c>
    </row>
    <row r="869" spans="1:14">
      <c r="A869" s="1" t="s">
        <v>3435</v>
      </c>
      <c r="B869" s="1" t="s">
        <v>3436</v>
      </c>
      <c r="C869" s="1" t="s">
        <v>1126</v>
      </c>
      <c r="D869" s="1" t="s">
        <v>1120</v>
      </c>
      <c r="E869" s="1"/>
      <c r="F869" s="1" t="s">
        <v>1105</v>
      </c>
      <c r="G869" s="1" t="s">
        <v>1084</v>
      </c>
      <c r="I869" t="s">
        <v>3437</v>
      </c>
      <c r="J869">
        <v>64882</v>
      </c>
      <c r="K869">
        <v>0</v>
      </c>
      <c r="L869" s="1" t="s">
        <v>1085</v>
      </c>
      <c r="M869" s="1"/>
      <c r="N869" t="s">
        <v>1241</v>
      </c>
    </row>
    <row r="870" spans="1:14">
      <c r="A870" s="1" t="s">
        <v>3438</v>
      </c>
      <c r="B870" s="1" t="s">
        <v>3439</v>
      </c>
      <c r="C870" s="1" t="s">
        <v>1160</v>
      </c>
      <c r="D870" s="1" t="s">
        <v>1090</v>
      </c>
      <c r="E870" s="1"/>
      <c r="F870" s="1"/>
      <c r="G870" s="1" t="s">
        <v>1133</v>
      </c>
      <c r="H870">
        <v>58</v>
      </c>
      <c r="J870">
        <v>203739</v>
      </c>
      <c r="K870">
        <v>0.3</v>
      </c>
      <c r="L870" s="1"/>
      <c r="M870" s="1" t="s">
        <v>1137</v>
      </c>
      <c r="N870" t="s">
        <v>1241</v>
      </c>
    </row>
    <row r="871" spans="1:14">
      <c r="A871" s="1" t="s">
        <v>3440</v>
      </c>
      <c r="B871" s="1" t="s">
        <v>3441</v>
      </c>
      <c r="C871" s="1" t="s">
        <v>1110</v>
      </c>
      <c r="D871" s="1" t="s">
        <v>1081</v>
      </c>
      <c r="E871" s="1"/>
      <c r="F871" s="1" t="s">
        <v>1083</v>
      </c>
      <c r="G871" s="1" t="s">
        <v>1133</v>
      </c>
      <c r="H871">
        <v>34</v>
      </c>
      <c r="I871" t="s">
        <v>1475</v>
      </c>
      <c r="K871">
        <v>0.19</v>
      </c>
      <c r="L871" s="1"/>
      <c r="M871" s="1" t="s">
        <v>1116</v>
      </c>
      <c r="N871" t="s">
        <v>1241</v>
      </c>
    </row>
    <row r="872" spans="1:14">
      <c r="A872" s="1" t="s">
        <v>3442</v>
      </c>
      <c r="B872" s="1" t="s">
        <v>3443</v>
      </c>
      <c r="C872" s="1" t="s">
        <v>1294</v>
      </c>
      <c r="D872" s="1" t="s">
        <v>1097</v>
      </c>
      <c r="E872" s="1" t="s">
        <v>1082</v>
      </c>
      <c r="F872" s="1" t="s">
        <v>1105</v>
      </c>
      <c r="G872" s="1" t="s">
        <v>1153</v>
      </c>
      <c r="H872">
        <v>54</v>
      </c>
      <c r="K872">
        <v>0.05</v>
      </c>
      <c r="L872" s="1"/>
      <c r="M872" s="1" t="s">
        <v>1093</v>
      </c>
      <c r="N872" t="s">
        <v>1241</v>
      </c>
    </row>
    <row r="873" spans="1:14">
      <c r="A873" s="1" t="s">
        <v>3444</v>
      </c>
      <c r="B873" s="1" t="s">
        <v>3445</v>
      </c>
      <c r="C873" s="1" t="s">
        <v>1591</v>
      </c>
      <c r="D873" s="1" t="s">
        <v>1090</v>
      </c>
      <c r="E873" s="1" t="s">
        <v>1121</v>
      </c>
      <c r="F873" s="1" t="s">
        <v>1083</v>
      </c>
      <c r="G873" s="1"/>
      <c r="I873" t="s">
        <v>3446</v>
      </c>
      <c r="J873">
        <v>90881</v>
      </c>
      <c r="K873">
        <v>0</v>
      </c>
      <c r="L873" s="1"/>
      <c r="M873" s="1" t="s">
        <v>1101</v>
      </c>
      <c r="N873" t="s">
        <v>1241</v>
      </c>
    </row>
    <row r="874" spans="1:14">
      <c r="A874" s="1" t="s">
        <v>3447</v>
      </c>
      <c r="B874" s="1" t="s">
        <v>3448</v>
      </c>
      <c r="C874" s="1" t="s">
        <v>1560</v>
      </c>
      <c r="D874" s="1" t="s">
        <v>1097</v>
      </c>
      <c r="E874" s="1" t="s">
        <v>1121</v>
      </c>
      <c r="F874" s="1" t="s">
        <v>1105</v>
      </c>
      <c r="G874" s="1"/>
      <c r="H874">
        <v>28</v>
      </c>
      <c r="I874">
        <v>44480</v>
      </c>
      <c r="J874">
        <v>83965</v>
      </c>
      <c r="K874">
        <v>0</v>
      </c>
      <c r="L874" s="1"/>
      <c r="M874" s="1" t="s">
        <v>1129</v>
      </c>
      <c r="N874" t="s">
        <v>1241</v>
      </c>
    </row>
    <row r="875" spans="1:14">
      <c r="A875" s="1" t="s">
        <v>3449</v>
      </c>
      <c r="B875" s="1" t="s">
        <v>3450</v>
      </c>
      <c r="C875" s="1" t="s">
        <v>1594</v>
      </c>
      <c r="D875" s="1" t="s">
        <v>1081</v>
      </c>
      <c r="E875" s="1" t="s">
        <v>1091</v>
      </c>
      <c r="F875" s="1"/>
      <c r="G875" s="1" t="s">
        <v>1153</v>
      </c>
      <c r="H875">
        <v>62</v>
      </c>
      <c r="I875" t="s">
        <v>3451</v>
      </c>
      <c r="J875">
        <v>73500</v>
      </c>
      <c r="L875" s="1"/>
      <c r="M875" s="1" t="s">
        <v>1116</v>
      </c>
      <c r="N875" t="s">
        <v>1241</v>
      </c>
    </row>
    <row r="876" spans="1:14">
      <c r="A876" s="1" t="s">
        <v>3452</v>
      </c>
      <c r="B876" s="1" t="s">
        <v>3453</v>
      </c>
      <c r="C876" s="1" t="s">
        <v>1110</v>
      </c>
      <c r="D876" s="1" t="s">
        <v>1208</v>
      </c>
      <c r="E876" s="1"/>
      <c r="F876" s="1" t="s">
        <v>1083</v>
      </c>
      <c r="G876" s="1" t="s">
        <v>1133</v>
      </c>
      <c r="H876">
        <v>59</v>
      </c>
      <c r="I876">
        <v>44599</v>
      </c>
      <c r="J876">
        <v>175137</v>
      </c>
      <c r="L876" s="1" t="s">
        <v>1085</v>
      </c>
      <c r="M876" s="1" t="s">
        <v>1093</v>
      </c>
      <c r="N876">
        <v>45017</v>
      </c>
    </row>
    <row r="877" spans="1:14">
      <c r="A877" s="1" t="s">
        <v>3454</v>
      </c>
      <c r="B877" s="1" t="s">
        <v>3455</v>
      </c>
      <c r="C877" s="1" t="s">
        <v>1110</v>
      </c>
      <c r="D877" s="1" t="s">
        <v>1148</v>
      </c>
      <c r="E877" s="1"/>
      <c r="F877" s="1" t="s">
        <v>1105</v>
      </c>
      <c r="G877" s="1" t="s">
        <v>1133</v>
      </c>
      <c r="H877">
        <v>35</v>
      </c>
      <c r="I877">
        <v>41096</v>
      </c>
      <c r="J877">
        <v>161453</v>
      </c>
      <c r="L877" s="1" t="s">
        <v>1085</v>
      </c>
      <c r="M877" s="1" t="s">
        <v>1116</v>
      </c>
      <c r="N877" t="s">
        <v>1241</v>
      </c>
    </row>
    <row r="878" spans="1:14">
      <c r="A878" s="1" t="s">
        <v>3456</v>
      </c>
      <c r="B878" s="1" t="s">
        <v>3457</v>
      </c>
      <c r="C878" s="1" t="s">
        <v>1126</v>
      </c>
      <c r="D878" s="1"/>
      <c r="E878" s="1" t="s">
        <v>1082</v>
      </c>
      <c r="F878" s="1" t="s">
        <v>1083</v>
      </c>
      <c r="G878" s="1" t="s">
        <v>1106</v>
      </c>
      <c r="H878">
        <v>31</v>
      </c>
      <c r="I878" t="s">
        <v>3458</v>
      </c>
      <c r="J878">
        <v>64234</v>
      </c>
      <c r="K878">
        <v>0</v>
      </c>
      <c r="L878" s="1"/>
      <c r="M878" s="1" t="s">
        <v>1107</v>
      </c>
      <c r="N878">
        <v>44511</v>
      </c>
    </row>
    <row r="879" spans="1:14">
      <c r="A879" s="1" t="s">
        <v>3459</v>
      </c>
      <c r="B879" s="1" t="s">
        <v>3460</v>
      </c>
      <c r="C879" s="1"/>
      <c r="D879" s="1" t="s">
        <v>1097</v>
      </c>
      <c r="E879" s="1" t="s">
        <v>1121</v>
      </c>
      <c r="F879" s="1" t="s">
        <v>1083</v>
      </c>
      <c r="G879" s="1" t="s">
        <v>1084</v>
      </c>
      <c r="H879">
        <v>55</v>
      </c>
      <c r="I879">
        <v>34675</v>
      </c>
      <c r="J879">
        <v>103726</v>
      </c>
      <c r="L879" s="1" t="s">
        <v>1100</v>
      </c>
      <c r="M879" s="1" t="s">
        <v>1101</v>
      </c>
      <c r="N879" t="s">
        <v>1241</v>
      </c>
    </row>
    <row r="880" spans="1:14">
      <c r="A880" s="1" t="s">
        <v>3461</v>
      </c>
      <c r="B880" s="1"/>
      <c r="C880" s="1"/>
      <c r="D880" s="1" t="s">
        <v>1081</v>
      </c>
      <c r="E880" s="1" t="s">
        <v>1098</v>
      </c>
      <c r="F880" s="1" t="s">
        <v>1083</v>
      </c>
      <c r="G880" s="1" t="s">
        <v>1084</v>
      </c>
      <c r="H880">
        <v>46</v>
      </c>
      <c r="I880" t="s">
        <v>3377</v>
      </c>
      <c r="J880">
        <v>114260</v>
      </c>
      <c r="L880" s="1" t="s">
        <v>1100</v>
      </c>
      <c r="M880" s="1" t="s">
        <v>1129</v>
      </c>
      <c r="N880" t="s">
        <v>1241</v>
      </c>
    </row>
    <row r="881" spans="1:14">
      <c r="A881" s="1" t="s">
        <v>3462</v>
      </c>
      <c r="B881" s="1" t="s">
        <v>3463</v>
      </c>
      <c r="C881" s="1" t="s">
        <v>1080</v>
      </c>
      <c r="D881" s="1"/>
      <c r="E881" s="1"/>
      <c r="F881" s="1" t="s">
        <v>1083</v>
      </c>
      <c r="G881" s="1" t="s">
        <v>1106</v>
      </c>
      <c r="H881">
        <v>36</v>
      </c>
      <c r="I881" t="s">
        <v>3464</v>
      </c>
      <c r="L881" s="1" t="s">
        <v>1085</v>
      </c>
      <c r="M881" s="1" t="s">
        <v>1112</v>
      </c>
      <c r="N881" t="s">
        <v>1241</v>
      </c>
    </row>
    <row r="882" spans="1:14">
      <c r="A882" s="1" t="s">
        <v>3465</v>
      </c>
      <c r="B882" s="1" t="s">
        <v>3466</v>
      </c>
      <c r="C882" s="1" t="s">
        <v>1152</v>
      </c>
      <c r="D882" s="1" t="s">
        <v>1090</v>
      </c>
      <c r="E882" s="1"/>
      <c r="F882" s="1" t="s">
        <v>1083</v>
      </c>
      <c r="G882" s="1" t="s">
        <v>1084</v>
      </c>
      <c r="H882">
        <v>27</v>
      </c>
      <c r="I882">
        <v>44447</v>
      </c>
      <c r="J882">
        <v>133267</v>
      </c>
      <c r="L882" s="1" t="s">
        <v>1085</v>
      </c>
      <c r="M882" s="1" t="s">
        <v>1116</v>
      </c>
      <c r="N882" t="s">
        <v>1241</v>
      </c>
    </row>
    <row r="883" spans="1:14">
      <c r="A883" s="1" t="s">
        <v>3467</v>
      </c>
      <c r="B883" s="1" t="s">
        <v>3468</v>
      </c>
      <c r="C883" s="1" t="s">
        <v>1177</v>
      </c>
      <c r="D883" s="1" t="s">
        <v>1090</v>
      </c>
      <c r="E883" s="1" t="s">
        <v>1121</v>
      </c>
      <c r="F883" s="1"/>
      <c r="G883" s="1" t="s">
        <v>1084</v>
      </c>
      <c r="H883">
        <v>50</v>
      </c>
      <c r="I883">
        <v>42472</v>
      </c>
      <c r="J883">
        <v>50038</v>
      </c>
      <c r="K883">
        <v>0</v>
      </c>
      <c r="L883" s="1"/>
      <c r="M883" s="1" t="s">
        <v>1123</v>
      </c>
      <c r="N883" t="s">
        <v>1241</v>
      </c>
    </row>
    <row r="884" spans="1:14">
      <c r="A884" s="1" t="s">
        <v>3469</v>
      </c>
      <c r="B884" s="1" t="s">
        <v>3470</v>
      </c>
      <c r="C884" s="1" t="s">
        <v>1089</v>
      </c>
      <c r="D884" s="1" t="s">
        <v>1120</v>
      </c>
      <c r="E884" s="1" t="s">
        <v>1091</v>
      </c>
      <c r="F884" s="1" t="s">
        <v>1083</v>
      </c>
      <c r="G884" s="1"/>
      <c r="H884">
        <v>27</v>
      </c>
      <c r="I884">
        <v>44713</v>
      </c>
      <c r="J884">
        <v>52058</v>
      </c>
      <c r="L884" s="1"/>
      <c r="M884" s="1" t="s">
        <v>1086</v>
      </c>
      <c r="N884" t="s">
        <v>1241</v>
      </c>
    </row>
    <row r="885" spans="1:14">
      <c r="A885" s="1" t="s">
        <v>3471</v>
      </c>
      <c r="B885" s="1" t="s">
        <v>3472</v>
      </c>
      <c r="C885" s="1" t="s">
        <v>1136</v>
      </c>
      <c r="D885" s="1" t="s">
        <v>1148</v>
      </c>
      <c r="E885" s="1" t="s">
        <v>1121</v>
      </c>
      <c r="F885" s="1" t="s">
        <v>1083</v>
      </c>
      <c r="G885" s="1" t="s">
        <v>1133</v>
      </c>
      <c r="K885">
        <v>0.08</v>
      </c>
      <c r="L885" s="1" t="s">
        <v>1085</v>
      </c>
      <c r="M885" s="1" t="s">
        <v>1086</v>
      </c>
      <c r="N885" t="s">
        <v>1241</v>
      </c>
    </row>
    <row r="886" spans="1:14">
      <c r="A886" s="1" t="s">
        <v>3473</v>
      </c>
      <c r="B886" s="1" t="s">
        <v>3474</v>
      </c>
      <c r="C886" s="1" t="s">
        <v>1089</v>
      </c>
      <c r="D886" s="1" t="s">
        <v>1120</v>
      </c>
      <c r="E886" s="1" t="s">
        <v>1082</v>
      </c>
      <c r="F886" s="1" t="s">
        <v>1083</v>
      </c>
      <c r="G886" s="1" t="s">
        <v>1084</v>
      </c>
      <c r="H886">
        <v>42</v>
      </c>
      <c r="J886">
        <v>53829</v>
      </c>
      <c r="L886" s="1" t="s">
        <v>1100</v>
      </c>
      <c r="M886" s="1" t="s">
        <v>1188</v>
      </c>
      <c r="N886" t="s">
        <v>1241</v>
      </c>
    </row>
    <row r="887" spans="1:14">
      <c r="A887" s="1" t="s">
        <v>3475</v>
      </c>
      <c r="B887" s="1" t="s">
        <v>3476</v>
      </c>
      <c r="C887" s="1" t="s">
        <v>1591</v>
      </c>
      <c r="D887" s="1" t="s">
        <v>1090</v>
      </c>
      <c r="E887" s="1" t="s">
        <v>1121</v>
      </c>
      <c r="F887" s="1" t="s">
        <v>1105</v>
      </c>
      <c r="G887" s="1" t="s">
        <v>1106</v>
      </c>
      <c r="H887">
        <v>65</v>
      </c>
      <c r="I887" t="s">
        <v>3477</v>
      </c>
      <c r="K887">
        <v>0</v>
      </c>
      <c r="L887" s="1"/>
      <c r="M887" s="1" t="s">
        <v>1298</v>
      </c>
      <c r="N887" t="s">
        <v>1241</v>
      </c>
    </row>
    <row r="888" spans="1:14">
      <c r="A888" s="1" t="s">
        <v>3478</v>
      </c>
      <c r="B888" s="1" t="s">
        <v>3479</v>
      </c>
      <c r="C888" s="1" t="s">
        <v>1152</v>
      </c>
      <c r="D888" s="1" t="s">
        <v>1208</v>
      </c>
      <c r="E888" s="1" t="s">
        <v>1121</v>
      </c>
      <c r="F888" s="1" t="s">
        <v>1083</v>
      </c>
      <c r="G888" s="1" t="s">
        <v>1084</v>
      </c>
      <c r="H888">
        <v>57</v>
      </c>
      <c r="I888">
        <v>41216</v>
      </c>
      <c r="J888">
        <v>136723</v>
      </c>
      <c r="L888" s="1"/>
      <c r="M888" s="1" t="s">
        <v>1112</v>
      </c>
      <c r="N888" t="s">
        <v>1241</v>
      </c>
    </row>
    <row r="889" spans="1:14">
      <c r="A889" s="1" t="s">
        <v>3480</v>
      </c>
      <c r="B889" s="1" t="s">
        <v>3481</v>
      </c>
      <c r="C889" s="1" t="s">
        <v>1136</v>
      </c>
      <c r="D889" s="1" t="s">
        <v>1120</v>
      </c>
      <c r="E889" s="1" t="s">
        <v>1082</v>
      </c>
      <c r="F889" s="1" t="s">
        <v>1105</v>
      </c>
      <c r="G889" s="1" t="s">
        <v>1133</v>
      </c>
      <c r="H889">
        <v>44</v>
      </c>
      <c r="I889">
        <v>40422</v>
      </c>
      <c r="J889">
        <v>129099</v>
      </c>
      <c r="K889">
        <v>0.06</v>
      </c>
      <c r="L889" s="1" t="s">
        <v>1085</v>
      </c>
      <c r="M889" s="1" t="s">
        <v>1112</v>
      </c>
      <c r="N889" t="s">
        <v>1241</v>
      </c>
    </row>
    <row r="890" spans="1:14">
      <c r="A890" s="1" t="s">
        <v>3482</v>
      </c>
      <c r="B890" s="1" t="s">
        <v>3483</v>
      </c>
      <c r="C890" s="1" t="s">
        <v>1269</v>
      </c>
      <c r="D890" s="1" t="s">
        <v>1097</v>
      </c>
      <c r="E890" s="1" t="s">
        <v>1091</v>
      </c>
      <c r="F890" s="1" t="s">
        <v>1105</v>
      </c>
      <c r="G890" s="1" t="s">
        <v>1106</v>
      </c>
      <c r="H890">
        <v>37</v>
      </c>
      <c r="I890" t="s">
        <v>3484</v>
      </c>
      <c r="J890">
        <v>59376</v>
      </c>
      <c r="K890">
        <v>0</v>
      </c>
      <c r="L890" s="1" t="s">
        <v>1085</v>
      </c>
      <c r="M890" s="1" t="s">
        <v>1137</v>
      </c>
      <c r="N890" t="s">
        <v>1241</v>
      </c>
    </row>
    <row r="891" spans="1:14">
      <c r="A891" s="1" t="s">
        <v>3485</v>
      </c>
      <c r="B891" s="1" t="s">
        <v>3486</v>
      </c>
      <c r="C891" s="1" t="s">
        <v>1132</v>
      </c>
      <c r="D891" s="1" t="s">
        <v>1097</v>
      </c>
      <c r="E891" s="1" t="s">
        <v>1098</v>
      </c>
      <c r="F891" s="1" t="s">
        <v>1105</v>
      </c>
      <c r="G891" s="1" t="s">
        <v>1084</v>
      </c>
      <c r="H891">
        <v>52</v>
      </c>
      <c r="I891" t="s">
        <v>3487</v>
      </c>
      <c r="J891">
        <v>98060</v>
      </c>
      <c r="K891">
        <v>0</v>
      </c>
      <c r="L891" s="1" t="s">
        <v>1085</v>
      </c>
      <c r="M891" s="1" t="s">
        <v>1137</v>
      </c>
      <c r="N891" t="s">
        <v>1241</v>
      </c>
    </row>
    <row r="892" spans="1:14">
      <c r="A892" s="1" t="s">
        <v>3488</v>
      </c>
      <c r="B892" s="1" t="s">
        <v>3489</v>
      </c>
      <c r="C892" s="1" t="s">
        <v>1152</v>
      </c>
      <c r="D892" s="1" t="s">
        <v>1208</v>
      </c>
      <c r="E892" s="1" t="s">
        <v>1091</v>
      </c>
      <c r="F892" s="1" t="s">
        <v>1083</v>
      </c>
      <c r="G892" s="1" t="s">
        <v>1106</v>
      </c>
      <c r="H892">
        <v>49</v>
      </c>
      <c r="I892" t="s">
        <v>3490</v>
      </c>
      <c r="J892">
        <v>152911</v>
      </c>
      <c r="K892">
        <v>0.1</v>
      </c>
      <c r="L892" s="1" t="s">
        <v>1221</v>
      </c>
      <c r="M892" s="1" t="s">
        <v>1222</v>
      </c>
      <c r="N892" t="s">
        <v>1241</v>
      </c>
    </row>
    <row r="893" spans="1:14">
      <c r="A893" s="1" t="s">
        <v>3491</v>
      </c>
      <c r="B893" s="1" t="s">
        <v>3492</v>
      </c>
      <c r="C893" s="1" t="s">
        <v>1140</v>
      </c>
      <c r="D893" s="1" t="s">
        <v>1097</v>
      </c>
      <c r="E893" s="1" t="s">
        <v>1098</v>
      </c>
      <c r="F893" s="1" t="s">
        <v>1083</v>
      </c>
      <c r="G893" s="1" t="s">
        <v>1106</v>
      </c>
      <c r="H893">
        <v>47</v>
      </c>
      <c r="I893" t="s">
        <v>3493</v>
      </c>
      <c r="J893">
        <v>42994</v>
      </c>
      <c r="K893">
        <v>0</v>
      </c>
      <c r="L893" s="1" t="s">
        <v>1221</v>
      </c>
      <c r="M893" s="1" t="s">
        <v>1298</v>
      </c>
      <c r="N893" t="s">
        <v>1241</v>
      </c>
    </row>
    <row r="894" spans="1:14">
      <c r="A894" s="1" t="s">
        <v>3494</v>
      </c>
      <c r="B894" s="1" t="s">
        <v>3495</v>
      </c>
      <c r="C894" s="1" t="s">
        <v>1089</v>
      </c>
      <c r="D894" s="1" t="s">
        <v>1120</v>
      </c>
      <c r="E894" s="1" t="s">
        <v>1082</v>
      </c>
      <c r="F894" s="1" t="s">
        <v>1105</v>
      </c>
      <c r="G894" s="1" t="s">
        <v>1084</v>
      </c>
      <c r="H894">
        <v>42</v>
      </c>
      <c r="I894" t="s">
        <v>3496</v>
      </c>
      <c r="J894">
        <v>59853</v>
      </c>
      <c r="K894">
        <v>0</v>
      </c>
      <c r="L894" s="1" t="s">
        <v>1100</v>
      </c>
      <c r="M894" s="1" t="s">
        <v>1129</v>
      </c>
      <c r="N894" t="s">
        <v>1241</v>
      </c>
    </row>
    <row r="895" spans="1:14">
      <c r="A895" s="1" t="s">
        <v>3497</v>
      </c>
      <c r="B895" s="1" t="s">
        <v>3498</v>
      </c>
      <c r="C895" s="1" t="s">
        <v>1140</v>
      </c>
      <c r="D895" s="1" t="s">
        <v>1097</v>
      </c>
      <c r="E895" s="1" t="s">
        <v>1082</v>
      </c>
      <c r="F895" s="1" t="s">
        <v>1083</v>
      </c>
      <c r="G895" s="1" t="s">
        <v>1153</v>
      </c>
      <c r="H895">
        <v>61</v>
      </c>
      <c r="I895">
        <v>40736</v>
      </c>
      <c r="J895">
        <v>41220</v>
      </c>
      <c r="K895">
        <v>0</v>
      </c>
      <c r="L895" s="1" t="s">
        <v>1085</v>
      </c>
      <c r="M895" s="1" t="s">
        <v>1093</v>
      </c>
      <c r="N895" t="s">
        <v>1241</v>
      </c>
    </row>
    <row r="896" spans="1:14">
      <c r="A896" s="1" t="s">
        <v>3499</v>
      </c>
      <c r="B896" s="1" t="s">
        <v>3500</v>
      </c>
      <c r="C896" s="1" t="s">
        <v>1119</v>
      </c>
      <c r="D896" s="1" t="s">
        <v>1120</v>
      </c>
      <c r="E896" s="1" t="s">
        <v>1091</v>
      </c>
      <c r="F896" s="1" t="s">
        <v>1105</v>
      </c>
      <c r="G896" s="1" t="s">
        <v>1084</v>
      </c>
      <c r="H896">
        <v>33</v>
      </c>
      <c r="I896" t="s">
        <v>3205</v>
      </c>
      <c r="J896">
        <v>97261</v>
      </c>
      <c r="K896">
        <v>0</v>
      </c>
      <c r="L896" s="1" t="s">
        <v>1100</v>
      </c>
      <c r="M896" s="1" t="s">
        <v>1188</v>
      </c>
      <c r="N896" t="s">
        <v>1241</v>
      </c>
    </row>
    <row r="897" spans="1:14">
      <c r="A897" s="1" t="s">
        <v>3501</v>
      </c>
      <c r="B897" s="1" t="s">
        <v>3502</v>
      </c>
      <c r="C897" s="1" t="s">
        <v>1136</v>
      </c>
      <c r="D897" s="1" t="s">
        <v>1208</v>
      </c>
      <c r="E897" s="1" t="s">
        <v>1082</v>
      </c>
      <c r="F897" s="1" t="s">
        <v>1083</v>
      </c>
      <c r="G897" s="1" t="s">
        <v>1153</v>
      </c>
      <c r="H897">
        <v>45</v>
      </c>
      <c r="I897" t="s">
        <v>3503</v>
      </c>
      <c r="J897">
        <v>127363</v>
      </c>
      <c r="K897">
        <v>0.09</v>
      </c>
      <c r="L897" s="1" t="s">
        <v>1085</v>
      </c>
      <c r="M897" s="1" t="s">
        <v>1086</v>
      </c>
      <c r="N897" t="s">
        <v>1241</v>
      </c>
    </row>
    <row r="898" spans="1:14">
      <c r="A898" s="1" t="s">
        <v>3504</v>
      </c>
      <c r="B898" s="1" t="s">
        <v>3505</v>
      </c>
      <c r="C898" s="1" t="s">
        <v>1136</v>
      </c>
      <c r="D898" s="1" t="s">
        <v>1148</v>
      </c>
      <c r="E898" s="1" t="s">
        <v>1121</v>
      </c>
      <c r="F898" s="1" t="s">
        <v>1083</v>
      </c>
      <c r="G898" s="1" t="s">
        <v>1133</v>
      </c>
      <c r="H898">
        <v>30</v>
      </c>
      <c r="I898" t="s">
        <v>3506</v>
      </c>
      <c r="J898">
        <v>111274</v>
      </c>
      <c r="K898">
        <v>0.06</v>
      </c>
      <c r="L898" s="1" t="s">
        <v>1085</v>
      </c>
      <c r="M898" s="1" t="s">
        <v>1107</v>
      </c>
      <c r="N898" t="s">
        <v>1241</v>
      </c>
    </row>
    <row r="899" spans="1:14">
      <c r="A899" s="1" t="s">
        <v>3507</v>
      </c>
      <c r="B899" s="1" t="s">
        <v>3508</v>
      </c>
      <c r="C899" s="1" t="s">
        <v>1294</v>
      </c>
      <c r="D899" s="1" t="s">
        <v>1097</v>
      </c>
      <c r="E899" s="1" t="s">
        <v>1091</v>
      </c>
      <c r="F899" s="1" t="s">
        <v>1083</v>
      </c>
      <c r="G899" s="1" t="s">
        <v>1106</v>
      </c>
      <c r="H899">
        <v>53</v>
      </c>
      <c r="I899" t="s">
        <v>2285</v>
      </c>
      <c r="J899">
        <v>90554</v>
      </c>
      <c r="K899">
        <v>7.0000000000000007E-2</v>
      </c>
      <c r="L899" s="1" t="s">
        <v>1221</v>
      </c>
      <c r="M899" s="1" t="s">
        <v>1222</v>
      </c>
      <c r="N899" t="s">
        <v>1241</v>
      </c>
    </row>
    <row r="900" spans="1:14">
      <c r="A900" s="1" t="s">
        <v>3509</v>
      </c>
      <c r="B900" s="1" t="s">
        <v>3510</v>
      </c>
      <c r="C900" s="1" t="s">
        <v>1136</v>
      </c>
      <c r="D900" s="1" t="s">
        <v>1127</v>
      </c>
      <c r="E900" s="1" t="s">
        <v>1098</v>
      </c>
      <c r="F900" s="1" t="s">
        <v>1083</v>
      </c>
      <c r="G900" s="1" t="s">
        <v>1106</v>
      </c>
      <c r="H900">
        <v>62</v>
      </c>
      <c r="I900">
        <v>35776</v>
      </c>
      <c r="J900">
        <v>100226</v>
      </c>
      <c r="K900">
        <v>0.1</v>
      </c>
      <c r="L900" s="1" t="s">
        <v>1085</v>
      </c>
      <c r="M900" s="1" t="s">
        <v>1107</v>
      </c>
      <c r="N900" t="s">
        <v>1241</v>
      </c>
    </row>
    <row r="901" spans="1:14">
      <c r="A901" s="1" t="s">
        <v>3511</v>
      </c>
      <c r="B901" s="1" t="s">
        <v>3512</v>
      </c>
      <c r="C901" s="1" t="s">
        <v>1446</v>
      </c>
      <c r="D901" s="1" t="s">
        <v>1081</v>
      </c>
      <c r="E901" s="1" t="s">
        <v>1082</v>
      </c>
      <c r="F901" s="1" t="s">
        <v>1105</v>
      </c>
      <c r="G901" s="1" t="s">
        <v>1084</v>
      </c>
      <c r="H901">
        <v>37</v>
      </c>
      <c r="I901" t="s">
        <v>3513</v>
      </c>
      <c r="J901">
        <v>93348</v>
      </c>
      <c r="K901">
        <v>0</v>
      </c>
      <c r="L901" s="1" t="s">
        <v>1100</v>
      </c>
      <c r="M901" s="1" t="s">
        <v>1123</v>
      </c>
      <c r="N901" t="s">
        <v>1241</v>
      </c>
    </row>
    <row r="902" spans="1:14">
      <c r="A902" s="1" t="s">
        <v>3514</v>
      </c>
      <c r="B902" s="1" t="s">
        <v>3515</v>
      </c>
      <c r="C902" s="1" t="s">
        <v>1528</v>
      </c>
      <c r="D902" s="1" t="s">
        <v>1097</v>
      </c>
      <c r="E902" s="1" t="s">
        <v>1098</v>
      </c>
      <c r="F902" s="1"/>
      <c r="G902" s="1" t="s">
        <v>1106</v>
      </c>
      <c r="H902">
        <v>62</v>
      </c>
      <c r="I902" t="s">
        <v>3516</v>
      </c>
      <c r="J902">
        <v>78059</v>
      </c>
      <c r="K902">
        <v>0</v>
      </c>
      <c r="L902" s="1" t="s">
        <v>1085</v>
      </c>
      <c r="M902" s="1" t="s">
        <v>1116</v>
      </c>
      <c r="N902" t="s">
        <v>3517</v>
      </c>
    </row>
    <row r="903" spans="1:14">
      <c r="A903" s="1" t="s">
        <v>3518</v>
      </c>
      <c r="B903" s="1" t="s">
        <v>3519</v>
      </c>
      <c r="C903" s="1" t="s">
        <v>1213</v>
      </c>
      <c r="D903" s="1" t="s">
        <v>1208</v>
      </c>
      <c r="E903" s="1" t="s">
        <v>1098</v>
      </c>
      <c r="F903" s="1"/>
      <c r="G903" s="1" t="s">
        <v>1106</v>
      </c>
      <c r="H903">
        <v>63</v>
      </c>
      <c r="I903" t="s">
        <v>3520</v>
      </c>
      <c r="J903">
        <v>58480</v>
      </c>
      <c r="K903">
        <v>0</v>
      </c>
      <c r="L903" s="1" t="s">
        <v>1221</v>
      </c>
      <c r="M903" s="1" t="s">
        <v>1443</v>
      </c>
      <c r="N903" t="s">
        <v>1241</v>
      </c>
    </row>
    <row r="904" spans="1:14">
      <c r="A904" s="1" t="s">
        <v>3521</v>
      </c>
      <c r="B904" s="1" t="s">
        <v>3522</v>
      </c>
      <c r="C904" s="1" t="s">
        <v>1160</v>
      </c>
      <c r="D904" s="1" t="s">
        <v>1127</v>
      </c>
      <c r="E904" s="1" t="s">
        <v>1091</v>
      </c>
      <c r="F904" s="1"/>
      <c r="G904" s="1" t="s">
        <v>1084</v>
      </c>
      <c r="H904">
        <v>39</v>
      </c>
      <c r="I904" t="s">
        <v>3523</v>
      </c>
      <c r="J904">
        <v>218052</v>
      </c>
      <c r="K904">
        <v>0.39</v>
      </c>
      <c r="L904" s="1" t="s">
        <v>1100</v>
      </c>
      <c r="M904" s="1" t="s">
        <v>1129</v>
      </c>
      <c r="N904" t="s">
        <v>1241</v>
      </c>
    </row>
    <row r="905" spans="1:14">
      <c r="A905" s="1" t="s">
        <v>3524</v>
      </c>
      <c r="B905" s="1" t="s">
        <v>3525</v>
      </c>
      <c r="C905" s="1" t="s">
        <v>1136</v>
      </c>
      <c r="D905" s="1" t="s">
        <v>1120</v>
      </c>
      <c r="E905" s="1" t="s">
        <v>1082</v>
      </c>
      <c r="F905" s="1"/>
      <c r="G905" s="1"/>
      <c r="H905">
        <v>52</v>
      </c>
      <c r="I905" t="s">
        <v>3526</v>
      </c>
      <c r="K905">
        <v>0.09</v>
      </c>
      <c r="L905" s="1" t="s">
        <v>1085</v>
      </c>
      <c r="M905" s="1" t="s">
        <v>1137</v>
      </c>
      <c r="N905" t="s">
        <v>1241</v>
      </c>
    </row>
    <row r="906" spans="1:14">
      <c r="A906" s="1" t="s">
        <v>3527</v>
      </c>
      <c r="B906" s="1" t="s">
        <v>3528</v>
      </c>
      <c r="C906" s="1" t="s">
        <v>1110</v>
      </c>
      <c r="D906" s="1" t="s">
        <v>1148</v>
      </c>
      <c r="E906" s="1" t="s">
        <v>1121</v>
      </c>
      <c r="F906" s="1"/>
      <c r="G906" s="1"/>
      <c r="H906">
        <v>54</v>
      </c>
      <c r="I906">
        <v>40461</v>
      </c>
      <c r="L906" s="1" t="s">
        <v>1100</v>
      </c>
      <c r="M906" s="1" t="s">
        <v>1123</v>
      </c>
      <c r="N906" t="s">
        <v>1241</v>
      </c>
    </row>
    <row r="907" spans="1:14">
      <c r="A907" s="1" t="s">
        <v>3529</v>
      </c>
      <c r="B907" s="1" t="s">
        <v>3530</v>
      </c>
      <c r="C907" s="1" t="s">
        <v>1160</v>
      </c>
      <c r="D907" s="1" t="s">
        <v>1148</v>
      </c>
      <c r="E907" s="1" t="s">
        <v>1091</v>
      </c>
      <c r="F907" s="1"/>
      <c r="G907" s="1"/>
      <c r="H907">
        <v>32</v>
      </c>
      <c r="I907">
        <v>42097</v>
      </c>
      <c r="J907">
        <v>241722</v>
      </c>
      <c r="L907" s="1" t="s">
        <v>1085</v>
      </c>
      <c r="M907" s="1" t="s">
        <v>1093</v>
      </c>
      <c r="N907" t="s">
        <v>1241</v>
      </c>
    </row>
    <row r="908" spans="1:14">
      <c r="A908" s="1" t="s">
        <v>3531</v>
      </c>
      <c r="B908" s="1" t="s">
        <v>3532</v>
      </c>
      <c r="C908" s="1" t="s">
        <v>1358</v>
      </c>
      <c r="D908" s="1" t="s">
        <v>1097</v>
      </c>
      <c r="E908" s="1" t="s">
        <v>1091</v>
      </c>
      <c r="F908" s="1"/>
      <c r="G908" s="1"/>
      <c r="H908">
        <v>56</v>
      </c>
      <c r="I908">
        <v>43437</v>
      </c>
      <c r="J908">
        <v>91835</v>
      </c>
      <c r="K908">
        <v>0</v>
      </c>
      <c r="L908" s="1" t="s">
        <v>1085</v>
      </c>
      <c r="M908" s="1" t="s">
        <v>1107</v>
      </c>
      <c r="N908" t="s">
        <v>1241</v>
      </c>
    </row>
    <row r="909" spans="1:14">
      <c r="A909" s="1" t="s">
        <v>3533</v>
      </c>
      <c r="B909" s="1" t="s">
        <v>3534</v>
      </c>
      <c r="C909" s="1" t="s">
        <v>1119</v>
      </c>
      <c r="D909" s="1" t="s">
        <v>1090</v>
      </c>
      <c r="E909" s="1" t="s">
        <v>1082</v>
      </c>
      <c r="F909" s="1"/>
      <c r="G909" s="1"/>
      <c r="H909">
        <v>47</v>
      </c>
      <c r="I909">
        <v>40725</v>
      </c>
      <c r="J909">
        <v>93910</v>
      </c>
      <c r="L909" s="1" t="s">
        <v>1085</v>
      </c>
      <c r="M909" s="1" t="s">
        <v>1137</v>
      </c>
      <c r="N909" t="s">
        <v>3535</v>
      </c>
    </row>
    <row r="910" spans="1:14">
      <c r="A910" s="1" t="s">
        <v>3536</v>
      </c>
      <c r="B910" s="1" t="s">
        <v>3537</v>
      </c>
      <c r="C910" s="1" t="s">
        <v>1119</v>
      </c>
      <c r="D910" s="1" t="s">
        <v>1090</v>
      </c>
      <c r="E910" s="1" t="s">
        <v>1098</v>
      </c>
      <c r="F910" s="1"/>
      <c r="G910" s="1"/>
      <c r="H910">
        <v>45</v>
      </c>
      <c r="I910" t="s">
        <v>3538</v>
      </c>
      <c r="J910">
        <v>86303</v>
      </c>
      <c r="L910" s="1" t="s">
        <v>1085</v>
      </c>
      <c r="M910" s="1" t="s">
        <v>1116</v>
      </c>
      <c r="N910" t="s">
        <v>1241</v>
      </c>
    </row>
    <row r="911" spans="1:14">
      <c r="A911" s="1" t="s">
        <v>3539</v>
      </c>
      <c r="B911" s="1" t="s">
        <v>3540</v>
      </c>
      <c r="C911" s="1" t="s">
        <v>1152</v>
      </c>
      <c r="D911" s="1" t="s">
        <v>1127</v>
      </c>
      <c r="E911" s="1" t="s">
        <v>1091</v>
      </c>
      <c r="F911" s="1"/>
      <c r="G911" s="1"/>
      <c r="H911">
        <v>56</v>
      </c>
      <c r="I911">
        <v>34704</v>
      </c>
      <c r="J911">
        <v>122731</v>
      </c>
      <c r="L911" s="1" t="s">
        <v>1085</v>
      </c>
      <c r="M911" s="1" t="s">
        <v>1107</v>
      </c>
      <c r="N911" t="s">
        <v>1241</v>
      </c>
    </row>
    <row r="912" spans="1:14">
      <c r="A912" s="1" t="s">
        <v>3541</v>
      </c>
      <c r="B912" s="1" t="s">
        <v>3542</v>
      </c>
      <c r="C912" s="1" t="s">
        <v>1152</v>
      </c>
      <c r="D912" s="1" t="s">
        <v>1127</v>
      </c>
      <c r="E912" s="1" t="s">
        <v>1091</v>
      </c>
      <c r="F912" s="1"/>
      <c r="G912" s="1"/>
      <c r="H912">
        <v>38</v>
      </c>
      <c r="I912" t="s">
        <v>2809</v>
      </c>
      <c r="J912">
        <v>147867</v>
      </c>
      <c r="K912">
        <v>0.12</v>
      </c>
      <c r="L912" s="1"/>
      <c r="M912" s="1" t="s">
        <v>1137</v>
      </c>
      <c r="N912" t="s">
        <v>1241</v>
      </c>
    </row>
    <row r="913" spans="1:14">
      <c r="A913" s="1" t="s">
        <v>3543</v>
      </c>
      <c r="B913" s="1" t="s">
        <v>3544</v>
      </c>
      <c r="C913" s="1" t="s">
        <v>1136</v>
      </c>
      <c r="D913" s="1" t="s">
        <v>1208</v>
      </c>
      <c r="E913" s="1" t="s">
        <v>1098</v>
      </c>
      <c r="F913" s="1"/>
      <c r="G913" s="1"/>
      <c r="H913">
        <v>47</v>
      </c>
      <c r="I913" t="s">
        <v>3545</v>
      </c>
      <c r="J913">
        <v>123790</v>
      </c>
      <c r="K913">
        <v>0.05</v>
      </c>
      <c r="L913" s="1"/>
      <c r="M913" s="1" t="s">
        <v>1112</v>
      </c>
      <c r="N913" t="s">
        <v>1241</v>
      </c>
    </row>
    <row r="914" spans="1:14">
      <c r="A914" s="1" t="s">
        <v>3546</v>
      </c>
      <c r="B914" s="1" t="s">
        <v>3547</v>
      </c>
      <c r="C914" s="1" t="s">
        <v>1364</v>
      </c>
      <c r="D914" s="1" t="s">
        <v>1208</v>
      </c>
      <c r="E914" s="1" t="s">
        <v>1121</v>
      </c>
      <c r="F914" s="1"/>
      <c r="G914" s="1"/>
      <c r="H914">
        <v>51</v>
      </c>
      <c r="I914" t="s">
        <v>3548</v>
      </c>
      <c r="J914">
        <v>77153</v>
      </c>
      <c r="K914">
        <v>0</v>
      </c>
      <c r="L914" s="1"/>
      <c r="M914" s="1" t="s">
        <v>1137</v>
      </c>
      <c r="N914" t="s">
        <v>1241</v>
      </c>
    </row>
    <row r="915" spans="1:14">
      <c r="A915" s="1" t="s">
        <v>3549</v>
      </c>
      <c r="B915" s="1" t="s">
        <v>3550</v>
      </c>
      <c r="C915" s="1" t="s">
        <v>1285</v>
      </c>
      <c r="D915" s="1" t="s">
        <v>1097</v>
      </c>
      <c r="E915" s="1" t="s">
        <v>1098</v>
      </c>
      <c r="F915" s="1"/>
      <c r="G915" s="1" t="s">
        <v>1133</v>
      </c>
      <c r="H915">
        <v>52</v>
      </c>
      <c r="I915" t="s">
        <v>3551</v>
      </c>
      <c r="J915">
        <v>73779</v>
      </c>
      <c r="K915">
        <v>0</v>
      </c>
      <c r="L915" s="1"/>
      <c r="M915" s="1" t="s">
        <v>1093</v>
      </c>
      <c r="N915" t="s">
        <v>1241</v>
      </c>
    </row>
    <row r="916" spans="1:14">
      <c r="A916" s="1" t="s">
        <v>3552</v>
      </c>
      <c r="B916" s="1" t="s">
        <v>3553</v>
      </c>
      <c r="C916" s="1" t="s">
        <v>1160</v>
      </c>
      <c r="D916" s="1" t="s">
        <v>1120</v>
      </c>
      <c r="E916" s="1" t="s">
        <v>1091</v>
      </c>
      <c r="F916" s="1" t="s">
        <v>1105</v>
      </c>
      <c r="G916" s="1" t="s">
        <v>1106</v>
      </c>
      <c r="H916">
        <v>56</v>
      </c>
      <c r="I916">
        <v>43291</v>
      </c>
      <c r="J916">
        <v>231699</v>
      </c>
      <c r="K916">
        <v>0.32</v>
      </c>
      <c r="L916" s="1"/>
      <c r="M916" s="1" t="s">
        <v>1443</v>
      </c>
      <c r="N916" t="s">
        <v>1241</v>
      </c>
    </row>
    <row r="917" spans="1:14">
      <c r="A917" s="1" t="s">
        <v>3554</v>
      </c>
      <c r="B917" s="1" t="s">
        <v>3555</v>
      </c>
      <c r="C917" s="1" t="s">
        <v>1160</v>
      </c>
      <c r="D917" s="1" t="s">
        <v>1127</v>
      </c>
      <c r="E917" s="1" t="s">
        <v>1091</v>
      </c>
      <c r="F917" s="1" t="s">
        <v>1083</v>
      </c>
      <c r="G917" s="1" t="s">
        <v>1153</v>
      </c>
      <c r="H917">
        <v>37</v>
      </c>
      <c r="I917" t="s">
        <v>3556</v>
      </c>
      <c r="J917">
        <v>199512</v>
      </c>
      <c r="K917">
        <v>0.35</v>
      </c>
      <c r="L917" s="1"/>
      <c r="M917" s="1" t="s">
        <v>1112</v>
      </c>
      <c r="N917" t="s">
        <v>1241</v>
      </c>
    </row>
    <row r="918" spans="1:14">
      <c r="A918" s="1" t="s">
        <v>3557</v>
      </c>
      <c r="B918" s="1" t="s">
        <v>3558</v>
      </c>
      <c r="C918" s="1" t="s">
        <v>1560</v>
      </c>
      <c r="D918" s="1" t="s">
        <v>1097</v>
      </c>
      <c r="E918" s="1" t="s">
        <v>1091</v>
      </c>
      <c r="F918" s="1" t="s">
        <v>1083</v>
      </c>
      <c r="G918" s="1" t="s">
        <v>1133</v>
      </c>
      <c r="H918">
        <v>29</v>
      </c>
      <c r="I918">
        <v>44808</v>
      </c>
      <c r="J918">
        <v>77557</v>
      </c>
      <c r="K918">
        <v>0</v>
      </c>
      <c r="L918" s="1"/>
      <c r="M918" s="1" t="s">
        <v>1137</v>
      </c>
      <c r="N918">
        <v>44904</v>
      </c>
    </row>
    <row r="919" spans="1:14">
      <c r="A919" s="1" t="s">
        <v>3559</v>
      </c>
      <c r="B919" s="1" t="s">
        <v>3560</v>
      </c>
      <c r="C919" s="1" t="s">
        <v>1119</v>
      </c>
      <c r="D919" s="1" t="s">
        <v>1090</v>
      </c>
      <c r="E919" s="1"/>
      <c r="F919" s="1" t="s">
        <v>1105</v>
      </c>
      <c r="G919" s="1" t="s">
        <v>1084</v>
      </c>
      <c r="H919">
        <v>59</v>
      </c>
      <c r="I919" t="s">
        <v>3561</v>
      </c>
      <c r="J919">
        <v>99760</v>
      </c>
      <c r="K919">
        <v>0</v>
      </c>
      <c r="L919" s="1"/>
      <c r="M919" s="1" t="s">
        <v>1123</v>
      </c>
      <c r="N919" t="s">
        <v>1241</v>
      </c>
    </row>
    <row r="920" spans="1:14">
      <c r="A920" s="1" t="s">
        <v>3562</v>
      </c>
      <c r="B920" s="1" t="s">
        <v>3563</v>
      </c>
      <c r="C920" s="1" t="s">
        <v>1119</v>
      </c>
      <c r="D920" s="1" t="s">
        <v>1148</v>
      </c>
      <c r="E920" s="1"/>
      <c r="F920" s="1" t="s">
        <v>1083</v>
      </c>
      <c r="G920" s="1" t="s">
        <v>1084</v>
      </c>
      <c r="H920">
        <v>50</v>
      </c>
      <c r="I920">
        <v>35286</v>
      </c>
      <c r="J920">
        <v>96297</v>
      </c>
      <c r="K920">
        <v>0</v>
      </c>
      <c r="L920" s="1" t="s">
        <v>1085</v>
      </c>
      <c r="M920" s="1" t="s">
        <v>1137</v>
      </c>
      <c r="N920" t="s">
        <v>1241</v>
      </c>
    </row>
    <row r="921" spans="1:14">
      <c r="A921" s="1" t="s">
        <v>3564</v>
      </c>
      <c r="B921" s="1" t="s">
        <v>3565</v>
      </c>
      <c r="C921" s="1" t="s">
        <v>1269</v>
      </c>
      <c r="D921" s="1" t="s">
        <v>1097</v>
      </c>
      <c r="E921" s="1"/>
      <c r="F921" s="1" t="s">
        <v>1083</v>
      </c>
      <c r="G921" s="1" t="s">
        <v>1084</v>
      </c>
      <c r="H921">
        <v>48</v>
      </c>
      <c r="I921" t="s">
        <v>3566</v>
      </c>
      <c r="J921">
        <v>53593</v>
      </c>
      <c r="K921">
        <v>0</v>
      </c>
      <c r="L921" s="1" t="s">
        <v>1100</v>
      </c>
      <c r="M921" s="1" t="s">
        <v>1129</v>
      </c>
      <c r="N921" t="s">
        <v>1241</v>
      </c>
    </row>
    <row r="922" spans="1:14">
      <c r="A922" s="1" t="s">
        <v>3567</v>
      </c>
      <c r="B922" s="1" t="s">
        <v>3568</v>
      </c>
      <c r="C922" s="1" t="s">
        <v>1110</v>
      </c>
      <c r="D922" s="1" t="s">
        <v>1148</v>
      </c>
      <c r="E922" s="1"/>
      <c r="F922" s="1" t="s">
        <v>1105</v>
      </c>
      <c r="G922" s="1" t="s">
        <v>1106</v>
      </c>
      <c r="H922">
        <v>44</v>
      </c>
      <c r="I922">
        <v>43162</v>
      </c>
      <c r="J922">
        <v>167660</v>
      </c>
      <c r="K922">
        <v>0.28999999999999998</v>
      </c>
      <c r="L922" s="1" t="s">
        <v>1221</v>
      </c>
      <c r="M922" s="1" t="s">
        <v>1298</v>
      </c>
      <c r="N922" t="s">
        <v>1241</v>
      </c>
    </row>
    <row r="923" spans="1:14">
      <c r="A923" s="1" t="s">
        <v>3569</v>
      </c>
      <c r="B923" s="1"/>
      <c r="C923" s="1" t="s">
        <v>1089</v>
      </c>
      <c r="D923" s="1" t="s">
        <v>1090</v>
      </c>
      <c r="E923" s="1"/>
      <c r="F923" s="1" t="s">
        <v>1083</v>
      </c>
      <c r="G923" s="1" t="s">
        <v>1133</v>
      </c>
      <c r="H923">
        <v>29</v>
      </c>
      <c r="I923" t="s">
        <v>3570</v>
      </c>
      <c r="J923">
        <v>43084</v>
      </c>
      <c r="K923">
        <v>0</v>
      </c>
      <c r="L923" s="1" t="s">
        <v>1085</v>
      </c>
      <c r="M923" s="1" t="s">
        <v>1107</v>
      </c>
      <c r="N923" t="s">
        <v>1241</v>
      </c>
    </row>
    <row r="924" spans="1:14">
      <c r="A924" s="1" t="s">
        <v>3571</v>
      </c>
      <c r="B924" s="1"/>
      <c r="C924" s="1" t="s">
        <v>1152</v>
      </c>
      <c r="D924" s="1" t="s">
        <v>1097</v>
      </c>
      <c r="E924" s="1"/>
      <c r="F924" s="1" t="s">
        <v>1083</v>
      </c>
      <c r="G924" s="1" t="s">
        <v>1133</v>
      </c>
      <c r="H924">
        <v>60</v>
      </c>
      <c r="I924">
        <v>35315</v>
      </c>
      <c r="J924">
        <v>154707</v>
      </c>
      <c r="K924">
        <v>0.13</v>
      </c>
      <c r="L924" s="1" t="s">
        <v>1085</v>
      </c>
      <c r="M924" s="1" t="s">
        <v>1112</v>
      </c>
      <c r="N924" t="s">
        <v>1241</v>
      </c>
    </row>
    <row r="925" spans="1:14">
      <c r="A925" s="1" t="s">
        <v>3572</v>
      </c>
      <c r="B925" s="1"/>
      <c r="C925" s="1" t="s">
        <v>1160</v>
      </c>
      <c r="D925" s="1" t="s">
        <v>1097</v>
      </c>
      <c r="E925" s="1"/>
      <c r="F925" s="1" t="s">
        <v>1083</v>
      </c>
      <c r="G925" s="1" t="s">
        <v>1084</v>
      </c>
      <c r="H925">
        <v>56</v>
      </c>
      <c r="I925">
        <v>40850</v>
      </c>
      <c r="J925">
        <v>184780</v>
      </c>
      <c r="K925">
        <v>0.38</v>
      </c>
      <c r="L925" s="1" t="s">
        <v>1085</v>
      </c>
      <c r="M925" s="1" t="s">
        <v>1112</v>
      </c>
      <c r="N925" t="s">
        <v>1241</v>
      </c>
    </row>
    <row r="926" spans="1:14">
      <c r="A926" s="1" t="s">
        <v>3573</v>
      </c>
      <c r="B926" s="1"/>
      <c r="C926" s="1" t="s">
        <v>1136</v>
      </c>
      <c r="D926" s="1" t="s">
        <v>1148</v>
      </c>
      <c r="E926" s="1"/>
      <c r="F926" s="1" t="s">
        <v>1105</v>
      </c>
      <c r="G926" s="1" t="s">
        <v>1106</v>
      </c>
      <c r="H926">
        <v>31</v>
      </c>
      <c r="I926" t="s">
        <v>3574</v>
      </c>
      <c r="J926">
        <v>109925</v>
      </c>
      <c r="K926">
        <v>7.0000000000000007E-2</v>
      </c>
      <c r="L926" s="1" t="s">
        <v>1221</v>
      </c>
      <c r="M926" s="1" t="s">
        <v>1443</v>
      </c>
      <c r="N926" t="s">
        <v>1241</v>
      </c>
    </row>
    <row r="927" spans="1:14">
      <c r="A927" s="1" t="s">
        <v>3575</v>
      </c>
      <c r="B927" s="1"/>
      <c r="C927" s="1" t="s">
        <v>1152</v>
      </c>
      <c r="D927" s="1" t="s">
        <v>1127</v>
      </c>
      <c r="E927" s="1" t="s">
        <v>1091</v>
      </c>
      <c r="F927" s="1" t="s">
        <v>1083</v>
      </c>
      <c r="G927" s="1" t="s">
        <v>1084</v>
      </c>
      <c r="H927">
        <v>53</v>
      </c>
      <c r="I927">
        <v>42250</v>
      </c>
      <c r="J927">
        <v>151706</v>
      </c>
      <c r="K927">
        <v>0.11</v>
      </c>
      <c r="L927" s="1"/>
      <c r="M927" s="1" t="s">
        <v>1129</v>
      </c>
      <c r="N927" t="s">
        <v>1241</v>
      </c>
    </row>
    <row r="928" spans="1:14">
      <c r="A928" s="1" t="s">
        <v>3576</v>
      </c>
      <c r="B928" s="1"/>
      <c r="C928" s="1" t="s">
        <v>1136</v>
      </c>
      <c r="D928" s="1" t="s">
        <v>1120</v>
      </c>
      <c r="E928" s="1" t="s">
        <v>1082</v>
      </c>
      <c r="F928" s="1" t="s">
        <v>1083</v>
      </c>
      <c r="G928" s="1" t="s">
        <v>1106</v>
      </c>
      <c r="H928">
        <v>26</v>
      </c>
      <c r="I928" t="s">
        <v>1871</v>
      </c>
      <c r="J928">
        <v>102066</v>
      </c>
      <c r="K928">
        <v>0.1</v>
      </c>
      <c r="L928" s="1"/>
      <c r="M928" s="1" t="s">
        <v>1112</v>
      </c>
      <c r="N928" t="s">
        <v>1241</v>
      </c>
    </row>
    <row r="929" spans="1:14">
      <c r="A929" s="1" t="s">
        <v>3577</v>
      </c>
      <c r="B929" s="1"/>
      <c r="C929" s="1" t="s">
        <v>1160</v>
      </c>
      <c r="D929" s="1" t="s">
        <v>1148</v>
      </c>
      <c r="E929" s="1" t="s">
        <v>1098</v>
      </c>
      <c r="F929" s="1" t="s">
        <v>1083</v>
      </c>
      <c r="G929" s="1" t="s">
        <v>1084</v>
      </c>
      <c r="H929">
        <v>31</v>
      </c>
      <c r="I929" t="s">
        <v>3578</v>
      </c>
      <c r="J929">
        <v>234203</v>
      </c>
      <c r="K929">
        <v>0.36</v>
      </c>
      <c r="L929" s="1"/>
      <c r="M929" s="1" t="s">
        <v>1107</v>
      </c>
      <c r="N929" t="s">
        <v>1241</v>
      </c>
    </row>
    <row r="930" spans="1:14">
      <c r="A930" s="1" t="s">
        <v>3579</v>
      </c>
      <c r="B930" s="1"/>
      <c r="C930" s="1" t="s">
        <v>1152</v>
      </c>
      <c r="D930" s="1" t="s">
        <v>1148</v>
      </c>
      <c r="E930" s="1" t="s">
        <v>1091</v>
      </c>
      <c r="F930" s="1" t="s">
        <v>1083</v>
      </c>
      <c r="G930" s="1" t="s">
        <v>1106</v>
      </c>
      <c r="H930">
        <v>48</v>
      </c>
      <c r="I930">
        <v>43806</v>
      </c>
      <c r="J930">
        <v>121884</v>
      </c>
      <c r="K930">
        <v>0.12</v>
      </c>
      <c r="L930" s="1"/>
      <c r="M930" s="1" t="s">
        <v>1112</v>
      </c>
      <c r="N930" t="s">
        <v>1241</v>
      </c>
    </row>
    <row r="931" spans="1:14">
      <c r="A931" s="1" t="s">
        <v>3580</v>
      </c>
      <c r="B931" s="1"/>
      <c r="C931" s="1" t="s">
        <v>1160</v>
      </c>
      <c r="D931" s="1" t="s">
        <v>1148</v>
      </c>
      <c r="E931" s="1" t="s">
        <v>1098</v>
      </c>
      <c r="F931" s="1" t="s">
        <v>1083</v>
      </c>
      <c r="G931" s="1" t="s">
        <v>1084</v>
      </c>
      <c r="H931">
        <v>61</v>
      </c>
      <c r="I931" t="s">
        <v>3581</v>
      </c>
      <c r="J931">
        <v>209680</v>
      </c>
      <c r="K931">
        <v>0.34</v>
      </c>
      <c r="L931" s="1" t="s">
        <v>1100</v>
      </c>
      <c r="M931" s="1" t="s">
        <v>1101</v>
      </c>
      <c r="N931" t="s">
        <v>1241</v>
      </c>
    </row>
    <row r="932" spans="1:14">
      <c r="A932" s="1" t="s">
        <v>3582</v>
      </c>
      <c r="B932" s="1"/>
      <c r="C932" s="1"/>
      <c r="D932" s="1" t="s">
        <v>1097</v>
      </c>
      <c r="E932" s="1" t="s">
        <v>1098</v>
      </c>
      <c r="F932" s="1" t="s">
        <v>1105</v>
      </c>
      <c r="G932" s="1" t="s">
        <v>1133</v>
      </c>
      <c r="H932">
        <v>42</v>
      </c>
      <c r="J932">
        <v>240940</v>
      </c>
      <c r="K932">
        <v>0.34</v>
      </c>
      <c r="L932" s="1" t="s">
        <v>1085</v>
      </c>
      <c r="M932" s="1" t="s">
        <v>1116</v>
      </c>
      <c r="N932">
        <v>42434</v>
      </c>
    </row>
    <row r="933" spans="1:14">
      <c r="A933" s="1" t="s">
        <v>3583</v>
      </c>
      <c r="B933" s="1"/>
      <c r="C933" s="1"/>
      <c r="D933" s="1" t="s">
        <v>1097</v>
      </c>
      <c r="E933" s="1" t="s">
        <v>1082</v>
      </c>
      <c r="F933" s="1" t="s">
        <v>1105</v>
      </c>
      <c r="G933" s="1" t="s">
        <v>1133</v>
      </c>
      <c r="H933">
        <v>50</v>
      </c>
      <c r="J933">
        <v>63884</v>
      </c>
      <c r="K933">
        <v>0</v>
      </c>
      <c r="L933" s="1" t="s">
        <v>1085</v>
      </c>
      <c r="M933" s="1" t="s">
        <v>1137</v>
      </c>
      <c r="N933" t="s">
        <v>1241</v>
      </c>
    </row>
    <row r="934" spans="1:14">
      <c r="A934" s="1" t="s">
        <v>3584</v>
      </c>
      <c r="B934" s="1"/>
      <c r="C934" s="1" t="s">
        <v>1275</v>
      </c>
      <c r="D934" s="1"/>
      <c r="E934" s="1" t="s">
        <v>1121</v>
      </c>
      <c r="F934" s="1" t="s">
        <v>1105</v>
      </c>
      <c r="G934" s="1" t="s">
        <v>1133</v>
      </c>
      <c r="H934">
        <v>46</v>
      </c>
      <c r="K934">
        <v>0</v>
      </c>
      <c r="L934" s="1" t="s">
        <v>1085</v>
      </c>
      <c r="M934" s="1" t="s">
        <v>1116</v>
      </c>
      <c r="N934" t="s">
        <v>1241</v>
      </c>
    </row>
    <row r="935" spans="1:14">
      <c r="A935" s="1" t="s">
        <v>3585</v>
      </c>
      <c r="B935" s="1" t="s">
        <v>3586</v>
      </c>
      <c r="C935" s="1" t="s">
        <v>1165</v>
      </c>
      <c r="D935" s="1"/>
      <c r="E935" s="1" t="s">
        <v>1121</v>
      </c>
      <c r="F935" s="1" t="s">
        <v>1105</v>
      </c>
      <c r="G935" s="1" t="s">
        <v>1106</v>
      </c>
      <c r="H935">
        <v>50</v>
      </c>
      <c r="I935">
        <v>39427</v>
      </c>
      <c r="K935">
        <v>0</v>
      </c>
      <c r="L935" s="1" t="s">
        <v>1085</v>
      </c>
      <c r="M935" s="1" t="s">
        <v>1093</v>
      </c>
      <c r="N935" t="s">
        <v>1241</v>
      </c>
    </row>
    <row r="936" spans="1:14">
      <c r="A936" s="1" t="s">
        <v>3587</v>
      </c>
      <c r="B936" s="1" t="s">
        <v>3588</v>
      </c>
      <c r="C936" s="1" t="s">
        <v>1110</v>
      </c>
      <c r="D936" s="1"/>
      <c r="E936" s="1" t="s">
        <v>1091</v>
      </c>
      <c r="F936" s="1" t="s">
        <v>1105</v>
      </c>
      <c r="G936" s="1" t="s">
        <v>1106</v>
      </c>
      <c r="H936">
        <v>62</v>
      </c>
      <c r="I936" t="s">
        <v>3589</v>
      </c>
      <c r="K936">
        <v>0.2</v>
      </c>
      <c r="L936" s="1" t="s">
        <v>1085</v>
      </c>
      <c r="M936" s="1" t="s">
        <v>1116</v>
      </c>
      <c r="N936" t="s">
        <v>1241</v>
      </c>
    </row>
    <row r="937" spans="1:14">
      <c r="A937" s="1" t="s">
        <v>3590</v>
      </c>
      <c r="B937" s="1" t="s">
        <v>3591</v>
      </c>
      <c r="C937" s="1" t="s">
        <v>1110</v>
      </c>
      <c r="D937" s="1"/>
      <c r="E937" s="1" t="s">
        <v>1121</v>
      </c>
      <c r="F937" s="1" t="s">
        <v>1105</v>
      </c>
      <c r="G937" s="1" t="s">
        <v>1133</v>
      </c>
      <c r="H937">
        <v>45</v>
      </c>
      <c r="I937" t="s">
        <v>3592</v>
      </c>
      <c r="K937">
        <v>0.18</v>
      </c>
      <c r="L937" s="1" t="s">
        <v>1085</v>
      </c>
      <c r="M937" s="1" t="s">
        <v>1137</v>
      </c>
      <c r="N937" t="s">
        <v>1241</v>
      </c>
    </row>
    <row r="938" spans="1:14">
      <c r="A938" s="1" t="s">
        <v>3593</v>
      </c>
      <c r="B938" s="1" t="s">
        <v>3594</v>
      </c>
      <c r="C938" s="1" t="s">
        <v>1110</v>
      </c>
      <c r="D938" s="1"/>
      <c r="E938" s="1" t="s">
        <v>1121</v>
      </c>
      <c r="F938" s="1" t="s">
        <v>1083</v>
      </c>
      <c r="G938" s="1" t="s">
        <v>1106</v>
      </c>
      <c r="H938">
        <v>34</v>
      </c>
      <c r="I938">
        <v>41092</v>
      </c>
      <c r="K938">
        <v>0.23</v>
      </c>
      <c r="L938" s="1" t="s">
        <v>1085</v>
      </c>
      <c r="M938" s="1" t="s">
        <v>1093</v>
      </c>
      <c r="N938" t="s">
        <v>1241</v>
      </c>
    </row>
    <row r="939" spans="1:14">
      <c r="A939" s="1" t="s">
        <v>3595</v>
      </c>
      <c r="B939" s="1" t="s">
        <v>3596</v>
      </c>
      <c r="C939" s="1" t="s">
        <v>1089</v>
      </c>
      <c r="D939" s="1"/>
      <c r="E939" s="1"/>
      <c r="F939" s="1" t="s">
        <v>1105</v>
      </c>
      <c r="G939" s="1" t="s">
        <v>1106</v>
      </c>
      <c r="H939">
        <v>35</v>
      </c>
      <c r="I939" t="s">
        <v>3597</v>
      </c>
      <c r="K939">
        <v>0</v>
      </c>
      <c r="L939" s="1" t="s">
        <v>1085</v>
      </c>
      <c r="M939" s="1" t="s">
        <v>1112</v>
      </c>
      <c r="N939" t="s">
        <v>1241</v>
      </c>
    </row>
    <row r="940" spans="1:14">
      <c r="A940" s="1" t="s">
        <v>3598</v>
      </c>
      <c r="B940" s="1" t="s">
        <v>3599</v>
      </c>
      <c r="C940" s="1" t="s">
        <v>1104</v>
      </c>
      <c r="D940" s="1"/>
      <c r="E940" s="1"/>
      <c r="F940" s="1" t="s">
        <v>1083</v>
      </c>
      <c r="G940" s="1" t="s">
        <v>1133</v>
      </c>
      <c r="H940">
        <v>41</v>
      </c>
      <c r="I940" t="s">
        <v>3600</v>
      </c>
      <c r="J940">
        <v>70566</v>
      </c>
      <c r="K940">
        <v>0</v>
      </c>
      <c r="L940" s="1" t="s">
        <v>1085</v>
      </c>
      <c r="M940" s="1" t="s">
        <v>1137</v>
      </c>
      <c r="N940" t="s">
        <v>1241</v>
      </c>
    </row>
    <row r="941" spans="1:14">
      <c r="A941" s="1" t="s">
        <v>3601</v>
      </c>
      <c r="B941" s="1" t="s">
        <v>3602</v>
      </c>
      <c r="C941" s="1" t="s">
        <v>1275</v>
      </c>
      <c r="D941" s="1"/>
      <c r="E941" s="1"/>
      <c r="F941" s="1" t="s">
        <v>1105</v>
      </c>
      <c r="G941" s="1" t="s">
        <v>1084</v>
      </c>
      <c r="H941">
        <v>56</v>
      </c>
      <c r="I941">
        <v>34096</v>
      </c>
      <c r="J941">
        <v>75435</v>
      </c>
      <c r="K941">
        <v>0</v>
      </c>
      <c r="L941" s="1" t="s">
        <v>1085</v>
      </c>
      <c r="M941" s="1" t="s">
        <v>1112</v>
      </c>
      <c r="N941" t="s">
        <v>1241</v>
      </c>
    </row>
    <row r="942" spans="1:14">
      <c r="A942" s="1" t="s">
        <v>3603</v>
      </c>
      <c r="B942" s="1" t="s">
        <v>3604</v>
      </c>
      <c r="C942" s="1" t="s">
        <v>1594</v>
      </c>
      <c r="D942" s="1" t="s">
        <v>1081</v>
      </c>
      <c r="E942" s="1" t="s">
        <v>1098</v>
      </c>
      <c r="F942" s="1" t="s">
        <v>1105</v>
      </c>
      <c r="G942" s="1" t="s">
        <v>1133</v>
      </c>
      <c r="H942">
        <v>31</v>
      </c>
      <c r="I942" t="s">
        <v>3605</v>
      </c>
      <c r="J942">
        <v>69108</v>
      </c>
      <c r="K942">
        <v>0</v>
      </c>
      <c r="L942" s="1" t="s">
        <v>1085</v>
      </c>
      <c r="M942" s="1" t="s">
        <v>1137</v>
      </c>
      <c r="N942" t="s">
        <v>1241</v>
      </c>
    </row>
    <row r="943" spans="1:14">
      <c r="A943" s="1"/>
      <c r="B943" s="1" t="s">
        <v>3606</v>
      </c>
      <c r="C943" s="1" t="s">
        <v>1152</v>
      </c>
      <c r="D943" s="1" t="s">
        <v>1127</v>
      </c>
      <c r="E943" s="1" t="s">
        <v>1098</v>
      </c>
      <c r="F943" s="1" t="s">
        <v>1105</v>
      </c>
      <c r="G943" s="1" t="s">
        <v>1106</v>
      </c>
      <c r="H943">
        <v>40</v>
      </c>
      <c r="I943">
        <v>39452</v>
      </c>
      <c r="J943">
        <v>140589</v>
      </c>
      <c r="K943">
        <v>0.14000000000000001</v>
      </c>
      <c r="L943" s="1" t="s">
        <v>1221</v>
      </c>
      <c r="M943" s="1" t="s">
        <v>1443</v>
      </c>
      <c r="N943" t="s">
        <v>1241</v>
      </c>
    </row>
    <row r="944" spans="1:14">
      <c r="A944" s="1"/>
      <c r="B944" s="1" t="s">
        <v>3607</v>
      </c>
      <c r="C944" s="1" t="s">
        <v>1160</v>
      </c>
      <c r="D944" s="1" t="s">
        <v>1120</v>
      </c>
      <c r="E944" s="1" t="s">
        <v>1121</v>
      </c>
      <c r="F944" s="1" t="s">
        <v>1083</v>
      </c>
      <c r="G944" s="1" t="s">
        <v>1084</v>
      </c>
      <c r="H944">
        <v>51</v>
      </c>
      <c r="I944" t="s">
        <v>3608</v>
      </c>
      <c r="J944">
        <v>206423</v>
      </c>
      <c r="K944">
        <v>0.36</v>
      </c>
      <c r="L944" s="1" t="s">
        <v>1100</v>
      </c>
      <c r="M944" s="1" t="s">
        <v>1188</v>
      </c>
      <c r="N944" t="s">
        <v>1241</v>
      </c>
    </row>
    <row r="945" spans="1:14">
      <c r="A945" s="1"/>
      <c r="B945" s="1" t="s">
        <v>3609</v>
      </c>
      <c r="C945" s="1" t="s">
        <v>1632</v>
      </c>
      <c r="D945" s="1" t="s">
        <v>1081</v>
      </c>
      <c r="E945" s="1" t="s">
        <v>1121</v>
      </c>
      <c r="F945" s="1" t="s">
        <v>1105</v>
      </c>
      <c r="G945" s="1" t="s">
        <v>1084</v>
      </c>
      <c r="H945">
        <v>49</v>
      </c>
      <c r="I945">
        <v>44445</v>
      </c>
      <c r="J945">
        <v>123738</v>
      </c>
      <c r="K945">
        <v>0</v>
      </c>
      <c r="L945" s="1" t="s">
        <v>1085</v>
      </c>
      <c r="M945" s="1" t="s">
        <v>1116</v>
      </c>
      <c r="N945" t="s">
        <v>1241</v>
      </c>
    </row>
    <row r="946" spans="1:14">
      <c r="A946" s="1"/>
      <c r="B946" s="1" t="s">
        <v>3610</v>
      </c>
      <c r="C946" s="1" t="s">
        <v>1384</v>
      </c>
      <c r="D946" s="1" t="s">
        <v>1208</v>
      </c>
      <c r="E946" s="1" t="s">
        <v>1098</v>
      </c>
      <c r="F946" s="1" t="s">
        <v>1083</v>
      </c>
      <c r="G946" s="1" t="s">
        <v>1133</v>
      </c>
      <c r="H946">
        <v>34</v>
      </c>
      <c r="I946" t="s">
        <v>3611</v>
      </c>
      <c r="J946">
        <v>58120</v>
      </c>
      <c r="K946">
        <v>0</v>
      </c>
      <c r="L946" s="1" t="s">
        <v>1085</v>
      </c>
      <c r="M946" s="1" t="s">
        <v>1112</v>
      </c>
      <c r="N946" t="s">
        <v>1241</v>
      </c>
    </row>
    <row r="947" spans="1:14">
      <c r="A947" s="1" t="s">
        <v>3612</v>
      </c>
      <c r="B947" s="1" t="s">
        <v>3613</v>
      </c>
      <c r="C947" s="1" t="s">
        <v>1096</v>
      </c>
      <c r="D947" s="1" t="s">
        <v>1097</v>
      </c>
      <c r="E947" s="1" t="s">
        <v>1091</v>
      </c>
      <c r="F947" s="1" t="s">
        <v>1105</v>
      </c>
      <c r="G947" s="1" t="s">
        <v>1133</v>
      </c>
      <c r="H947">
        <v>48</v>
      </c>
      <c r="J947">
        <v>62672</v>
      </c>
      <c r="K947">
        <v>0</v>
      </c>
      <c r="L947" s="1" t="s">
        <v>1085</v>
      </c>
      <c r="M947" s="1" t="s">
        <v>1093</v>
      </c>
      <c r="N947" t="s">
        <v>1241</v>
      </c>
    </row>
    <row r="948" spans="1:14">
      <c r="A948" s="1" t="s">
        <v>3614</v>
      </c>
      <c r="B948" s="1" t="s">
        <v>3615</v>
      </c>
      <c r="C948" s="1" t="s">
        <v>1216</v>
      </c>
      <c r="D948" s="1" t="s">
        <v>1081</v>
      </c>
      <c r="E948" s="1" t="s">
        <v>1098</v>
      </c>
      <c r="F948" s="1" t="s">
        <v>1105</v>
      </c>
      <c r="G948" s="1"/>
      <c r="H948">
        <v>45</v>
      </c>
      <c r="J948">
        <v>92037</v>
      </c>
      <c r="K948">
        <v>0</v>
      </c>
      <c r="L948" s="1" t="s">
        <v>1085</v>
      </c>
      <c r="M948" s="1" t="s">
        <v>1116</v>
      </c>
      <c r="N948" t="s">
        <v>1241</v>
      </c>
    </row>
    <row r="949" spans="1:14">
      <c r="A949" s="1" t="s">
        <v>3616</v>
      </c>
      <c r="B949" s="1" t="s">
        <v>3617</v>
      </c>
      <c r="C949" s="1" t="s">
        <v>1160</v>
      </c>
      <c r="D949" s="1" t="s">
        <v>1208</v>
      </c>
      <c r="E949" s="1" t="s">
        <v>1121</v>
      </c>
      <c r="F949" s="1" t="s">
        <v>1105</v>
      </c>
      <c r="G949" s="1"/>
      <c r="H949">
        <v>53</v>
      </c>
      <c r="J949">
        <v>258722</v>
      </c>
      <c r="K949">
        <v>0.36</v>
      </c>
      <c r="L949" s="1" t="s">
        <v>1085</v>
      </c>
      <c r="M949" s="1" t="s">
        <v>1116</v>
      </c>
      <c r="N949" t="s">
        <v>1241</v>
      </c>
    </row>
    <row r="950" spans="1:14">
      <c r="A950" s="1" t="s">
        <v>3618</v>
      </c>
      <c r="B950" s="1" t="s">
        <v>3619</v>
      </c>
      <c r="C950" s="1" t="s">
        <v>1594</v>
      </c>
      <c r="D950" s="1" t="s">
        <v>1081</v>
      </c>
      <c r="E950" s="1" t="s">
        <v>1091</v>
      </c>
      <c r="F950" s="1" t="s">
        <v>1105</v>
      </c>
      <c r="G950" s="1"/>
      <c r="H950">
        <v>55</v>
      </c>
      <c r="J950">
        <v>64809</v>
      </c>
      <c r="K950">
        <v>0</v>
      </c>
      <c r="L950" s="1" t="s">
        <v>1221</v>
      </c>
      <c r="M950" s="1" t="s">
        <v>1222</v>
      </c>
      <c r="N950" t="s">
        <v>3620</v>
      </c>
    </row>
    <row r="951" spans="1:14">
      <c r="A951" s="1" t="s">
        <v>3621</v>
      </c>
      <c r="B951" s="1" t="s">
        <v>3622</v>
      </c>
      <c r="C951" s="1" t="s">
        <v>1601</v>
      </c>
      <c r="D951" s="1" t="s">
        <v>1081</v>
      </c>
      <c r="E951" s="1" t="s">
        <v>1091</v>
      </c>
      <c r="F951" s="1" t="s">
        <v>1105</v>
      </c>
      <c r="G951" s="1"/>
      <c r="H951">
        <v>56</v>
      </c>
      <c r="J951">
        <v>95577</v>
      </c>
      <c r="K951">
        <v>0</v>
      </c>
      <c r="L951" s="1" t="s">
        <v>1100</v>
      </c>
      <c r="M951" s="1" t="s">
        <v>1101</v>
      </c>
      <c r="N951" t="s">
        <v>1241</v>
      </c>
    </row>
    <row r="952" spans="1:14">
      <c r="A952" s="1" t="s">
        <v>3623</v>
      </c>
      <c r="B952" s="1" t="s">
        <v>3624</v>
      </c>
      <c r="C952" s="1" t="s">
        <v>1594</v>
      </c>
      <c r="D952" s="1" t="s">
        <v>1081</v>
      </c>
      <c r="E952" s="1" t="s">
        <v>1098</v>
      </c>
      <c r="F952" s="1" t="s">
        <v>1105</v>
      </c>
      <c r="G952" s="1" t="s">
        <v>1084</v>
      </c>
      <c r="H952">
        <v>41</v>
      </c>
      <c r="J952">
        <v>73059</v>
      </c>
      <c r="K952">
        <v>0</v>
      </c>
      <c r="L952" s="1" t="s">
        <v>1100</v>
      </c>
      <c r="M952" s="1" t="s">
        <v>1101</v>
      </c>
      <c r="N952" t="s">
        <v>1241</v>
      </c>
    </row>
    <row r="953" spans="1:14">
      <c r="A953" s="1" t="s">
        <v>3625</v>
      </c>
      <c r="B953" s="1"/>
      <c r="C953" s="1" t="s">
        <v>1089</v>
      </c>
      <c r="D953" s="1" t="s">
        <v>1090</v>
      </c>
      <c r="E953" s="1" t="s">
        <v>1121</v>
      </c>
      <c r="F953" s="1" t="s">
        <v>1083</v>
      </c>
      <c r="G953" s="1" t="s">
        <v>1106</v>
      </c>
      <c r="H953">
        <v>55</v>
      </c>
      <c r="J953">
        <v>54641</v>
      </c>
      <c r="K953">
        <v>0</v>
      </c>
      <c r="L953" s="1" t="s">
        <v>1221</v>
      </c>
      <c r="M953" s="1" t="s">
        <v>1298</v>
      </c>
      <c r="N953" t="s">
        <v>1241</v>
      </c>
    </row>
    <row r="954" spans="1:14">
      <c r="A954" s="1" t="s">
        <v>3626</v>
      </c>
      <c r="B954" s="1"/>
      <c r="C954" s="1" t="s">
        <v>1601</v>
      </c>
      <c r="D954" s="1" t="s">
        <v>1081</v>
      </c>
      <c r="E954" s="1" t="s">
        <v>1121</v>
      </c>
      <c r="F954" s="1" t="s">
        <v>1083</v>
      </c>
      <c r="G954" s="1" t="s">
        <v>1084</v>
      </c>
      <c r="H954">
        <v>42</v>
      </c>
      <c r="I954" t="s">
        <v>2339</v>
      </c>
      <c r="J954">
        <v>93851</v>
      </c>
      <c r="K954">
        <v>0</v>
      </c>
      <c r="L954" s="1" t="s">
        <v>1085</v>
      </c>
      <c r="M954" s="1" t="s">
        <v>1137</v>
      </c>
      <c r="N954" t="s">
        <v>1241</v>
      </c>
    </row>
    <row r="955" spans="1:14">
      <c r="A955" s="1" t="s">
        <v>3627</v>
      </c>
      <c r="B955" s="1"/>
      <c r="C955" s="1" t="s">
        <v>1119</v>
      </c>
      <c r="D955" s="1" t="s">
        <v>1090</v>
      </c>
      <c r="E955" s="1" t="s">
        <v>1098</v>
      </c>
      <c r="F955" s="1" t="s">
        <v>1083</v>
      </c>
      <c r="G955" s="1" t="s">
        <v>1153</v>
      </c>
      <c r="H955">
        <v>30</v>
      </c>
      <c r="I955" t="s">
        <v>2465</v>
      </c>
      <c r="J955">
        <v>96010</v>
      </c>
      <c r="K955">
        <v>0</v>
      </c>
      <c r="L955" s="1" t="s">
        <v>1085</v>
      </c>
      <c r="M955" s="1" t="s">
        <v>1093</v>
      </c>
      <c r="N955" t="s">
        <v>1241</v>
      </c>
    </row>
    <row r="956" spans="1:14">
      <c r="A956" s="1" t="s">
        <v>3628</v>
      </c>
      <c r="B956" s="1"/>
      <c r="C956" s="1" t="s">
        <v>1096</v>
      </c>
      <c r="D956" s="1" t="s">
        <v>1097</v>
      </c>
      <c r="E956" s="1" t="s">
        <v>1098</v>
      </c>
      <c r="F956" s="1" t="s">
        <v>1083</v>
      </c>
      <c r="G956" s="1" t="s">
        <v>1084</v>
      </c>
      <c r="H956">
        <v>44</v>
      </c>
      <c r="I956">
        <v>38202</v>
      </c>
      <c r="J956">
        <v>73386</v>
      </c>
      <c r="K956">
        <v>0</v>
      </c>
      <c r="L956" s="1" t="s">
        <v>1100</v>
      </c>
      <c r="M956" s="1" t="s">
        <v>1123</v>
      </c>
      <c r="N956" t="s">
        <v>1241</v>
      </c>
    </row>
    <row r="957" spans="1:14">
      <c r="A957" s="1" t="s">
        <v>3629</v>
      </c>
      <c r="B957" s="1"/>
      <c r="C957" s="1" t="s">
        <v>1119</v>
      </c>
      <c r="D957" s="1" t="s">
        <v>1120</v>
      </c>
      <c r="E957" s="1" t="s">
        <v>1098</v>
      </c>
      <c r="F957" s="1" t="s">
        <v>1105</v>
      </c>
      <c r="G957" s="1" t="s">
        <v>1084</v>
      </c>
      <c r="H957">
        <v>49</v>
      </c>
      <c r="I957" t="s">
        <v>3630</v>
      </c>
      <c r="J957">
        <v>95033</v>
      </c>
      <c r="K957">
        <v>0</v>
      </c>
      <c r="L957" s="1" t="s">
        <v>1085</v>
      </c>
      <c r="M957" s="1" t="s">
        <v>1112</v>
      </c>
      <c r="N957" t="s">
        <v>3631</v>
      </c>
    </row>
    <row r="958" spans="1:14">
      <c r="A958" s="1" t="s">
        <v>3632</v>
      </c>
      <c r="B958" s="1"/>
      <c r="C958" s="1" t="s">
        <v>1160</v>
      </c>
      <c r="D958" s="1" t="s">
        <v>1081</v>
      </c>
      <c r="E958" s="1" t="s">
        <v>1121</v>
      </c>
      <c r="F958" s="1" t="s">
        <v>1105</v>
      </c>
      <c r="G958" s="1" t="s">
        <v>1106</v>
      </c>
      <c r="H958">
        <v>43</v>
      </c>
      <c r="I958">
        <v>40858</v>
      </c>
      <c r="J958">
        <v>185211</v>
      </c>
      <c r="K958">
        <v>0.39</v>
      </c>
      <c r="L958" s="1" t="s">
        <v>1221</v>
      </c>
      <c r="M958" s="1" t="s">
        <v>1298</v>
      </c>
      <c r="N958" t="s">
        <v>1241</v>
      </c>
    </row>
    <row r="959" spans="1:14">
      <c r="A959" s="1" t="s">
        <v>3633</v>
      </c>
      <c r="B959" s="1"/>
      <c r="C959" s="1" t="s">
        <v>1136</v>
      </c>
      <c r="D959" s="1" t="s">
        <v>1148</v>
      </c>
      <c r="E959" s="1" t="s">
        <v>1121</v>
      </c>
      <c r="F959" s="1" t="s">
        <v>1105</v>
      </c>
      <c r="G959" s="1" t="s">
        <v>1084</v>
      </c>
      <c r="H959">
        <v>53</v>
      </c>
      <c r="I959">
        <v>41763</v>
      </c>
      <c r="J959">
        <v>125099</v>
      </c>
      <c r="K959">
        <v>0.08</v>
      </c>
      <c r="L959" s="1" t="s">
        <v>1100</v>
      </c>
      <c r="M959" s="1" t="s">
        <v>1129</v>
      </c>
      <c r="N959" t="s">
        <v>1241</v>
      </c>
    </row>
    <row r="960" spans="1:14">
      <c r="A960" s="1"/>
      <c r="B960" s="1"/>
      <c r="C960" s="1" t="s">
        <v>1119</v>
      </c>
      <c r="D960" s="1" t="s">
        <v>1090</v>
      </c>
      <c r="E960" s="1" t="s">
        <v>1082</v>
      </c>
      <c r="F960" s="1" t="s">
        <v>1083</v>
      </c>
      <c r="G960" s="1" t="s">
        <v>1106</v>
      </c>
      <c r="H960">
        <v>41</v>
      </c>
      <c r="I960" t="s">
        <v>3634</v>
      </c>
      <c r="J960">
        <v>84627</v>
      </c>
      <c r="K960">
        <v>0</v>
      </c>
      <c r="L960" s="1" t="s">
        <v>1221</v>
      </c>
      <c r="M960" s="1" t="s">
        <v>1443</v>
      </c>
      <c r="N960" t="s">
        <v>1241</v>
      </c>
    </row>
    <row r="961" spans="1:14">
      <c r="A961" s="1"/>
      <c r="B961" s="1" t="s">
        <v>3635</v>
      </c>
      <c r="C961" s="1" t="s">
        <v>1160</v>
      </c>
      <c r="D961" s="1" t="s">
        <v>1081</v>
      </c>
      <c r="E961" s="1" t="s">
        <v>1091</v>
      </c>
      <c r="F961" s="1" t="s">
        <v>1083</v>
      </c>
      <c r="G961" s="1"/>
      <c r="H961">
        <v>26</v>
      </c>
      <c r="I961">
        <v>43864</v>
      </c>
      <c r="J961">
        <v>211114</v>
      </c>
      <c r="K961">
        <v>0.3</v>
      </c>
      <c r="L961" s="1" t="s">
        <v>1085</v>
      </c>
      <c r="M961" s="1" t="s">
        <v>1137</v>
      </c>
      <c r="N961" t="s">
        <v>1241</v>
      </c>
    </row>
    <row r="962" spans="1:14">
      <c r="A962" s="1" t="s">
        <v>3636</v>
      </c>
      <c r="B962" s="1" t="s">
        <v>3637</v>
      </c>
      <c r="C962" s="1"/>
      <c r="D962" s="1" t="s">
        <v>1148</v>
      </c>
      <c r="E962" s="1" t="s">
        <v>1098</v>
      </c>
      <c r="F962" s="1" t="s">
        <v>1105</v>
      </c>
      <c r="G962" s="1"/>
      <c r="H962">
        <v>57</v>
      </c>
      <c r="I962" t="s">
        <v>3638</v>
      </c>
      <c r="J962">
        <v>73117</v>
      </c>
      <c r="K962">
        <v>0</v>
      </c>
      <c r="L962" s="1" t="s">
        <v>1085</v>
      </c>
      <c r="M962" s="1" t="s">
        <v>1086</v>
      </c>
      <c r="N962" t="s">
        <v>1241</v>
      </c>
    </row>
    <row r="963" spans="1:14">
      <c r="A963" s="1" t="s">
        <v>3639</v>
      </c>
      <c r="B963" s="1" t="s">
        <v>3640</v>
      </c>
      <c r="C963" s="1"/>
      <c r="D963" s="1"/>
      <c r="E963" s="1"/>
      <c r="F963" s="1" t="s">
        <v>1083</v>
      </c>
      <c r="G963" s="1"/>
      <c r="H963">
        <v>41</v>
      </c>
      <c r="I963" t="s">
        <v>3641</v>
      </c>
      <c r="J963">
        <v>55330</v>
      </c>
      <c r="K963">
        <v>0</v>
      </c>
      <c r="L963" s="1" t="s">
        <v>1085</v>
      </c>
      <c r="M963" s="1" t="s">
        <v>1112</v>
      </c>
      <c r="N963" t="s">
        <v>1241</v>
      </c>
    </row>
    <row r="964" spans="1:14">
      <c r="A964" s="1" t="s">
        <v>3642</v>
      </c>
      <c r="B964" s="1" t="s">
        <v>3643</v>
      </c>
      <c r="C964" s="1"/>
      <c r="D964" s="1"/>
      <c r="E964" s="1"/>
      <c r="F964" s="1"/>
      <c r="G964" s="1"/>
      <c r="H964">
        <v>59</v>
      </c>
      <c r="I964">
        <v>42830</v>
      </c>
      <c r="K964">
        <v>0.17</v>
      </c>
      <c r="L964" s="1" t="s">
        <v>1100</v>
      </c>
      <c r="M964" s="1" t="s">
        <v>1188</v>
      </c>
      <c r="N964" t="s">
        <v>1241</v>
      </c>
    </row>
    <row r="965" spans="1:14">
      <c r="A965" s="1" t="s">
        <v>3644</v>
      </c>
      <c r="B965" s="1" t="s">
        <v>3645</v>
      </c>
      <c r="C965" s="1"/>
      <c r="D965" s="1"/>
      <c r="E965" s="1"/>
      <c r="F965" s="1"/>
      <c r="G965" s="1"/>
      <c r="H965">
        <v>59</v>
      </c>
      <c r="I965">
        <v>38358</v>
      </c>
      <c r="K965">
        <v>0.25</v>
      </c>
      <c r="L965" s="1" t="s">
        <v>1085</v>
      </c>
      <c r="M965" s="1" t="s">
        <v>1116</v>
      </c>
      <c r="N965" t="s">
        <v>1241</v>
      </c>
    </row>
    <row r="966" spans="1:14">
      <c r="A966" s="1" t="s">
        <v>3646</v>
      </c>
      <c r="B966" s="1" t="s">
        <v>3647</v>
      </c>
      <c r="C966" s="1"/>
      <c r="D966" s="1"/>
      <c r="E966" s="1"/>
      <c r="F966" s="1"/>
      <c r="G966" s="1" t="s">
        <v>1106</v>
      </c>
      <c r="H966">
        <v>54</v>
      </c>
      <c r="I966" t="s">
        <v>3648</v>
      </c>
      <c r="K966">
        <v>0</v>
      </c>
      <c r="L966" s="1" t="s">
        <v>1221</v>
      </c>
      <c r="M966" s="1" t="s">
        <v>1298</v>
      </c>
      <c r="N966" t="s">
        <v>1241</v>
      </c>
    </row>
    <row r="967" spans="1:14">
      <c r="A967" s="1" t="s">
        <v>3649</v>
      </c>
      <c r="B967" s="1" t="s">
        <v>3650</v>
      </c>
      <c r="C967" s="1" t="s">
        <v>1152</v>
      </c>
      <c r="D967" s="1"/>
      <c r="E967" s="1"/>
      <c r="F967" s="1" t="s">
        <v>1105</v>
      </c>
      <c r="G967" s="1" t="s">
        <v>1084</v>
      </c>
      <c r="H967">
        <v>44</v>
      </c>
      <c r="I967">
        <v>44905</v>
      </c>
      <c r="K967">
        <v>0.14000000000000001</v>
      </c>
      <c r="L967" s="1" t="s">
        <v>1100</v>
      </c>
      <c r="M967" s="1" t="s">
        <v>1123</v>
      </c>
      <c r="N967" t="s">
        <v>1241</v>
      </c>
    </row>
    <row r="968" spans="1:14">
      <c r="A968" s="1" t="s">
        <v>3651</v>
      </c>
      <c r="B968" s="1" t="s">
        <v>3652</v>
      </c>
      <c r="C968" s="1"/>
      <c r="D968" s="1" t="s">
        <v>1148</v>
      </c>
      <c r="E968" s="1" t="s">
        <v>1121</v>
      </c>
      <c r="F968" s="1"/>
      <c r="G968" s="1" t="s">
        <v>1106</v>
      </c>
      <c r="H968">
        <v>55</v>
      </c>
      <c r="I968">
        <v>44780</v>
      </c>
      <c r="K968">
        <v>0.05</v>
      </c>
      <c r="L968" s="1" t="s">
        <v>1221</v>
      </c>
      <c r="M968" s="1" t="s">
        <v>1222</v>
      </c>
      <c r="N968" t="s">
        <v>1241</v>
      </c>
    </row>
    <row r="969" spans="1:14">
      <c r="A969" s="1" t="s">
        <v>3653</v>
      </c>
      <c r="B969" s="1" t="s">
        <v>3654</v>
      </c>
      <c r="C969" s="1"/>
      <c r="D969" s="1" t="s">
        <v>1097</v>
      </c>
      <c r="E969" s="1" t="s">
        <v>1098</v>
      </c>
      <c r="F969" s="1"/>
      <c r="G969" s="1" t="s">
        <v>1084</v>
      </c>
      <c r="H969">
        <v>30</v>
      </c>
      <c r="I969">
        <v>44265</v>
      </c>
      <c r="L969" s="1" t="s">
        <v>1100</v>
      </c>
      <c r="M969" s="1" t="s">
        <v>1123</v>
      </c>
      <c r="N969" t="s">
        <v>1241</v>
      </c>
    </row>
    <row r="970" spans="1:14">
      <c r="A970" s="1" t="s">
        <v>3655</v>
      </c>
      <c r="B970" s="1" t="s">
        <v>3656</v>
      </c>
      <c r="C970" s="1"/>
      <c r="D970" s="1" t="s">
        <v>1090</v>
      </c>
      <c r="E970" s="1"/>
      <c r="F970" s="1"/>
      <c r="G970" s="1" t="s">
        <v>1106</v>
      </c>
      <c r="H970">
        <v>44</v>
      </c>
      <c r="I970" t="s">
        <v>3657</v>
      </c>
      <c r="L970" s="1"/>
      <c r="M970" s="1" t="s">
        <v>1298</v>
      </c>
      <c r="N970" t="s">
        <v>1241</v>
      </c>
    </row>
    <row r="971" spans="1:14">
      <c r="A971" s="1" t="s">
        <v>3658</v>
      </c>
      <c r="B971" s="1" t="s">
        <v>3659</v>
      </c>
      <c r="C971" s="1" t="s">
        <v>1089</v>
      </c>
      <c r="D971" s="1"/>
      <c r="E971" s="1"/>
      <c r="F971" s="1" t="s">
        <v>1105</v>
      </c>
      <c r="G971" s="1" t="s">
        <v>1133</v>
      </c>
      <c r="H971">
        <v>57</v>
      </c>
      <c r="I971" t="s">
        <v>3660</v>
      </c>
      <c r="L971" s="1"/>
      <c r="M971" s="1" t="s">
        <v>1086</v>
      </c>
      <c r="N971" t="s">
        <v>1241</v>
      </c>
    </row>
    <row r="972" spans="1:14">
      <c r="A972" s="1" t="s">
        <v>3661</v>
      </c>
      <c r="B972" s="1" t="s">
        <v>3662</v>
      </c>
      <c r="C972" s="1"/>
      <c r="D972" s="1" t="s">
        <v>1081</v>
      </c>
      <c r="E972" s="1"/>
      <c r="F972" s="1" t="s">
        <v>1083</v>
      </c>
      <c r="G972" s="1" t="s">
        <v>1106</v>
      </c>
      <c r="H972">
        <v>58</v>
      </c>
      <c r="I972" t="s">
        <v>3663</v>
      </c>
      <c r="L972" s="1" t="s">
        <v>1085</v>
      </c>
      <c r="M972" s="1" t="s">
        <v>1107</v>
      </c>
      <c r="N972" t="s">
        <v>1241</v>
      </c>
    </row>
    <row r="973" spans="1:14">
      <c r="A973" s="1" t="s">
        <v>3664</v>
      </c>
      <c r="B973" s="1" t="s">
        <v>3665</v>
      </c>
      <c r="C973" s="1"/>
      <c r="D973" s="1" t="s">
        <v>1081</v>
      </c>
      <c r="E973" s="1" t="s">
        <v>1082</v>
      </c>
      <c r="F973" s="1"/>
      <c r="G973" s="1" t="s">
        <v>1084</v>
      </c>
      <c r="H973">
        <v>59</v>
      </c>
      <c r="I973" t="s">
        <v>3666</v>
      </c>
      <c r="L973" s="1" t="s">
        <v>1085</v>
      </c>
      <c r="M973" s="1" t="s">
        <v>1093</v>
      </c>
      <c r="N973" t="s">
        <v>1241</v>
      </c>
    </row>
    <row r="974" spans="1:14">
      <c r="A974" s="1" t="s">
        <v>3667</v>
      </c>
      <c r="B974" s="1" t="s">
        <v>3668</v>
      </c>
      <c r="C974" s="1"/>
      <c r="D974" s="1" t="s">
        <v>1097</v>
      </c>
      <c r="E974" s="1" t="s">
        <v>1082</v>
      </c>
      <c r="F974" s="1"/>
      <c r="G974" s="1"/>
      <c r="H974">
        <v>60</v>
      </c>
      <c r="I974" t="s">
        <v>3669</v>
      </c>
      <c r="L974" s="1" t="s">
        <v>1085</v>
      </c>
      <c r="M974" s="1" t="s">
        <v>1086</v>
      </c>
      <c r="N974" t="s">
        <v>1241</v>
      </c>
    </row>
    <row r="975" spans="1:14">
      <c r="A975" s="1" t="s">
        <v>3670</v>
      </c>
      <c r="B975" s="1" t="s">
        <v>3671</v>
      </c>
      <c r="C975" s="1"/>
      <c r="D975" s="1"/>
      <c r="E975" s="1" t="s">
        <v>1098</v>
      </c>
      <c r="F975" s="1" t="s">
        <v>1105</v>
      </c>
      <c r="G975" s="1"/>
      <c r="H975">
        <v>32</v>
      </c>
      <c r="I975">
        <v>43652</v>
      </c>
      <c r="J975">
        <v>65666</v>
      </c>
      <c r="K975">
        <v>0</v>
      </c>
      <c r="L975" s="1" t="s">
        <v>1085</v>
      </c>
      <c r="M975" s="1" t="s">
        <v>1086</v>
      </c>
      <c r="N975" t="s">
        <v>1241</v>
      </c>
    </row>
    <row r="976" spans="1:14">
      <c r="A976" s="1"/>
      <c r="B976" s="1" t="s">
        <v>3672</v>
      </c>
      <c r="C976" s="1"/>
      <c r="D976" s="1"/>
      <c r="E976" s="1" t="s">
        <v>1082</v>
      </c>
      <c r="F976" s="1"/>
      <c r="G976" s="1" t="s">
        <v>1133</v>
      </c>
      <c r="H976">
        <v>41</v>
      </c>
      <c r="I976" t="s">
        <v>3673</v>
      </c>
      <c r="K976">
        <v>0</v>
      </c>
      <c r="L976" s="1" t="s">
        <v>1085</v>
      </c>
      <c r="M976" s="1" t="s">
        <v>1086</v>
      </c>
      <c r="N976" t="s">
        <v>1241</v>
      </c>
    </row>
    <row r="977" spans="1:14">
      <c r="A977" s="1"/>
      <c r="B977" s="1" t="s">
        <v>3674</v>
      </c>
      <c r="C977" s="1"/>
      <c r="D977" s="1" t="s">
        <v>1097</v>
      </c>
      <c r="E977" s="1" t="s">
        <v>1121</v>
      </c>
      <c r="F977" s="1"/>
      <c r="G977" s="1" t="s">
        <v>1084</v>
      </c>
      <c r="H977">
        <v>39</v>
      </c>
      <c r="K977">
        <v>0</v>
      </c>
      <c r="L977" s="1" t="s">
        <v>1085</v>
      </c>
      <c r="M977" s="1" t="s">
        <v>1086</v>
      </c>
      <c r="N977" t="s">
        <v>1241</v>
      </c>
    </row>
    <row r="978" spans="1:14">
      <c r="A978" s="1"/>
      <c r="B978" s="1" t="s">
        <v>3675</v>
      </c>
      <c r="C978" s="1"/>
      <c r="D978" s="1" t="s">
        <v>1148</v>
      </c>
      <c r="E978" s="1"/>
      <c r="F978" s="1" t="s">
        <v>1105</v>
      </c>
      <c r="G978" s="1" t="s">
        <v>1106</v>
      </c>
      <c r="H978">
        <v>39</v>
      </c>
      <c r="I978" t="s">
        <v>3676</v>
      </c>
      <c r="L978" s="1" t="s">
        <v>1085</v>
      </c>
      <c r="M978" s="1" t="s">
        <v>1137</v>
      </c>
      <c r="N978" t="s">
        <v>1241</v>
      </c>
    </row>
    <row r="979" spans="1:14">
      <c r="A979" s="1" t="s">
        <v>3677</v>
      </c>
      <c r="B979" s="1"/>
      <c r="C979" s="1"/>
      <c r="D979" s="1"/>
      <c r="E979" s="1" t="s">
        <v>1098</v>
      </c>
      <c r="F979" s="1" t="s">
        <v>1083</v>
      </c>
      <c r="G979" s="1" t="s">
        <v>1084</v>
      </c>
      <c r="H979">
        <v>31</v>
      </c>
      <c r="I979">
        <v>42560</v>
      </c>
      <c r="J979">
        <v>118644</v>
      </c>
      <c r="K979">
        <v>0.13</v>
      </c>
      <c r="L979" s="1"/>
      <c r="M979" s="1" t="s">
        <v>1116</v>
      </c>
      <c r="N979" t="s">
        <v>1241</v>
      </c>
    </row>
    <row r="980" spans="1:14">
      <c r="A980" s="1" t="s">
        <v>3678</v>
      </c>
      <c r="B980" s="1"/>
      <c r="C980" s="1" t="s">
        <v>1119</v>
      </c>
      <c r="D980" s="1"/>
      <c r="E980" s="1" t="s">
        <v>1098</v>
      </c>
      <c r="F980" s="1" t="s">
        <v>1105</v>
      </c>
      <c r="G980" s="1" t="s">
        <v>1084</v>
      </c>
      <c r="H980">
        <v>32</v>
      </c>
      <c r="I980" t="s">
        <v>3679</v>
      </c>
      <c r="J980">
        <v>79773</v>
      </c>
      <c r="K980">
        <v>0</v>
      </c>
      <c r="L980" s="1" t="s">
        <v>1100</v>
      </c>
      <c r="M980" s="1" t="s">
        <v>1188</v>
      </c>
      <c r="N980" t="s">
        <v>1241</v>
      </c>
    </row>
    <row r="981" spans="1:14">
      <c r="A981" s="1"/>
      <c r="B981" s="1" t="s">
        <v>3680</v>
      </c>
      <c r="C981" s="1"/>
      <c r="D981" s="1" t="s">
        <v>1120</v>
      </c>
      <c r="E981" s="1" t="s">
        <v>1098</v>
      </c>
      <c r="F981" s="1" t="s">
        <v>1083</v>
      </c>
      <c r="G981" s="1" t="s">
        <v>1084</v>
      </c>
      <c r="H981">
        <v>46</v>
      </c>
      <c r="I981" t="s">
        <v>3681</v>
      </c>
      <c r="K981">
        <v>0.13</v>
      </c>
      <c r="L981" s="1"/>
      <c r="M981" s="1" t="s">
        <v>1101</v>
      </c>
      <c r="N981" t="s">
        <v>1241</v>
      </c>
    </row>
    <row r="982" spans="1:14">
      <c r="A982" s="1"/>
      <c r="B982" s="1"/>
      <c r="C982" s="1" t="s">
        <v>1136</v>
      </c>
      <c r="D982" s="1" t="s">
        <v>1097</v>
      </c>
      <c r="E982" s="1" t="s">
        <v>1121</v>
      </c>
      <c r="F982" s="1" t="s">
        <v>1105</v>
      </c>
      <c r="G982" s="1" t="s">
        <v>1106</v>
      </c>
      <c r="H982">
        <v>64</v>
      </c>
      <c r="L982" s="1" t="s">
        <v>1085</v>
      </c>
      <c r="M982" s="1" t="s">
        <v>1137</v>
      </c>
      <c r="N982" t="s">
        <v>1241</v>
      </c>
    </row>
    <row r="983" spans="1:14">
      <c r="A983" s="1"/>
      <c r="B983" s="1"/>
      <c r="C983" s="1" t="s">
        <v>1110</v>
      </c>
      <c r="D983" s="1" t="s">
        <v>1208</v>
      </c>
      <c r="E983" s="1" t="s">
        <v>1121</v>
      </c>
      <c r="F983" s="1" t="s">
        <v>1105</v>
      </c>
      <c r="G983" s="1" t="s">
        <v>1133</v>
      </c>
      <c r="H983">
        <v>53</v>
      </c>
      <c r="L983" s="1" t="s">
        <v>1085</v>
      </c>
      <c r="M983" s="1" t="s">
        <v>1137</v>
      </c>
      <c r="N983" t="s">
        <v>1241</v>
      </c>
    </row>
    <row r="984" spans="1:14">
      <c r="A984" s="1" t="s">
        <v>3682</v>
      </c>
      <c r="B984" s="1"/>
      <c r="C984" s="1"/>
      <c r="D984" s="1" t="s">
        <v>1090</v>
      </c>
      <c r="E984" s="1" t="s">
        <v>1082</v>
      </c>
      <c r="F984" s="1" t="s">
        <v>1083</v>
      </c>
      <c r="G984" s="1" t="s">
        <v>1106</v>
      </c>
      <c r="H984">
        <v>34</v>
      </c>
      <c r="L984" s="1" t="s">
        <v>1085</v>
      </c>
      <c r="M984" s="1" t="s">
        <v>1137</v>
      </c>
      <c r="N984" t="s">
        <v>1241</v>
      </c>
    </row>
    <row r="985" spans="1:14">
      <c r="A985" s="1"/>
      <c r="B985" s="1" t="s">
        <v>3683</v>
      </c>
      <c r="C985" s="1" t="s">
        <v>1136</v>
      </c>
      <c r="D985" s="1"/>
      <c r="E985" s="1" t="s">
        <v>1121</v>
      </c>
      <c r="F985" s="1" t="s">
        <v>1083</v>
      </c>
      <c r="G985" s="1" t="s">
        <v>1084</v>
      </c>
      <c r="H985">
        <v>39</v>
      </c>
      <c r="L985" s="1" t="s">
        <v>1085</v>
      </c>
      <c r="M985" s="1" t="s">
        <v>1112</v>
      </c>
      <c r="N985" t="s">
        <v>1241</v>
      </c>
    </row>
    <row r="986" spans="1:14">
      <c r="A986" s="1"/>
      <c r="B986" s="1" t="s">
        <v>3684</v>
      </c>
      <c r="C986" s="1" t="s">
        <v>1591</v>
      </c>
      <c r="D986" s="1" t="s">
        <v>1090</v>
      </c>
      <c r="E986" s="1"/>
      <c r="F986" s="1"/>
      <c r="G986" s="1" t="s">
        <v>1133</v>
      </c>
      <c r="H986">
        <v>25</v>
      </c>
      <c r="J986">
        <v>72693</v>
      </c>
      <c r="L986" s="1"/>
      <c r="M986" s="1" t="s">
        <v>1107</v>
      </c>
      <c r="N986" t="s">
        <v>1241</v>
      </c>
    </row>
    <row r="987" spans="1:14">
      <c r="A987" s="1" t="s">
        <v>3685</v>
      </c>
      <c r="B987" s="1" t="s">
        <v>3686</v>
      </c>
      <c r="C987" s="1" t="s">
        <v>1358</v>
      </c>
      <c r="D987" s="1" t="s">
        <v>1097</v>
      </c>
      <c r="E987" s="1" t="s">
        <v>1121</v>
      </c>
      <c r="F987" s="1"/>
      <c r="G987" s="1" t="s">
        <v>1084</v>
      </c>
      <c r="H987">
        <v>45</v>
      </c>
      <c r="J987">
        <v>92820</v>
      </c>
      <c r="K987">
        <v>0</v>
      </c>
      <c r="L987" s="1"/>
      <c r="M987" s="1" t="s">
        <v>1123</v>
      </c>
      <c r="N987" t="s">
        <v>1241</v>
      </c>
    </row>
    <row r="988" spans="1:14">
      <c r="A988" s="1" t="s">
        <v>3687</v>
      </c>
      <c r="B988" s="1" t="s">
        <v>3688</v>
      </c>
      <c r="C988" s="1" t="s">
        <v>1152</v>
      </c>
      <c r="D988" s="1" t="s">
        <v>1127</v>
      </c>
      <c r="E988" s="1"/>
      <c r="F988" s="1" t="s">
        <v>1105</v>
      </c>
      <c r="G988" s="1" t="s">
        <v>1106</v>
      </c>
      <c r="H988">
        <v>61</v>
      </c>
      <c r="J988">
        <v>135561</v>
      </c>
      <c r="K988">
        <v>0.13</v>
      </c>
      <c r="L988" s="1"/>
      <c r="M988" s="1" t="s">
        <v>1443</v>
      </c>
      <c r="N988" t="s">
        <v>1241</v>
      </c>
    </row>
    <row r="989" spans="1:14">
      <c r="A989" s="1" t="s">
        <v>3689</v>
      </c>
      <c r="B989" s="1" t="s">
        <v>3690</v>
      </c>
      <c r="C989" s="1" t="s">
        <v>1152</v>
      </c>
      <c r="D989" s="1"/>
      <c r="E989" s="1"/>
      <c r="F989" s="1" t="s">
        <v>1083</v>
      </c>
      <c r="G989" s="1" t="s">
        <v>1084</v>
      </c>
      <c r="H989">
        <v>44</v>
      </c>
      <c r="J989">
        <v>121788</v>
      </c>
      <c r="K989">
        <v>0.13</v>
      </c>
      <c r="L989" s="1"/>
      <c r="M989" s="1" t="s">
        <v>1116</v>
      </c>
      <c r="N989" t="s">
        <v>1241</v>
      </c>
    </row>
    <row r="990" spans="1:14">
      <c r="A990" s="1" t="s">
        <v>3691</v>
      </c>
      <c r="B990" s="1" t="s">
        <v>3692</v>
      </c>
      <c r="C990" s="1"/>
      <c r="D990" s="1"/>
      <c r="E990" s="1" t="s">
        <v>1082</v>
      </c>
      <c r="F990" s="1" t="s">
        <v>1105</v>
      </c>
      <c r="G990" s="1" t="s">
        <v>1153</v>
      </c>
      <c r="H990">
        <v>59</v>
      </c>
      <c r="J990">
        <v>92216</v>
      </c>
      <c r="K990">
        <v>0</v>
      </c>
      <c r="L990" s="1"/>
      <c r="M990" s="1" t="s">
        <v>1093</v>
      </c>
      <c r="N990" t="s">
        <v>1241</v>
      </c>
    </row>
    <row r="991" spans="1:14">
      <c r="A991" s="1" t="s">
        <v>3693</v>
      </c>
      <c r="B991" s="1" t="s">
        <v>3694</v>
      </c>
      <c r="C991" s="1"/>
      <c r="D991" s="1" t="s">
        <v>1081</v>
      </c>
      <c r="E991" s="1" t="s">
        <v>1082</v>
      </c>
      <c r="F991" s="1" t="s">
        <v>1083</v>
      </c>
      <c r="G991" s="1" t="s">
        <v>1106</v>
      </c>
      <c r="H991">
        <v>34</v>
      </c>
      <c r="J991">
        <v>104586</v>
      </c>
      <c r="K991">
        <v>0</v>
      </c>
      <c r="L991" s="1" t="s">
        <v>1221</v>
      </c>
      <c r="M991" s="1"/>
      <c r="N991" t="s">
        <v>1241</v>
      </c>
    </row>
    <row r="992" spans="1:14">
      <c r="A992" s="1" t="s">
        <v>3695</v>
      </c>
      <c r="B992" s="1"/>
      <c r="C992" s="1" t="s">
        <v>1177</v>
      </c>
      <c r="D992" s="1" t="s">
        <v>1090</v>
      </c>
      <c r="E992" s="1" t="s">
        <v>1091</v>
      </c>
      <c r="F992" s="1" t="s">
        <v>1105</v>
      </c>
      <c r="G992" s="1" t="s">
        <v>1153</v>
      </c>
      <c r="H992">
        <v>45</v>
      </c>
      <c r="I992" t="s">
        <v>3154</v>
      </c>
      <c r="J992">
        <v>70439</v>
      </c>
      <c r="L992" s="1"/>
      <c r="M992" s="1" t="s">
        <v>1116</v>
      </c>
      <c r="N992" t="s">
        <v>1241</v>
      </c>
    </row>
    <row r="993" spans="1:14">
      <c r="A993" s="1" t="s">
        <v>3696</v>
      </c>
      <c r="B993" s="1" t="s">
        <v>3697</v>
      </c>
      <c r="C993" s="1" t="s">
        <v>1089</v>
      </c>
      <c r="D993" s="1" t="s">
        <v>1090</v>
      </c>
      <c r="E993" s="1" t="s">
        <v>1098</v>
      </c>
      <c r="F993" s="1" t="s">
        <v>1083</v>
      </c>
      <c r="G993" s="1" t="s">
        <v>1084</v>
      </c>
      <c r="H993">
        <v>35</v>
      </c>
      <c r="I993" t="s">
        <v>3698</v>
      </c>
      <c r="J993">
        <v>52232</v>
      </c>
      <c r="K993">
        <v>0</v>
      </c>
      <c r="L993" s="1"/>
      <c r="M993" s="1" t="s">
        <v>1086</v>
      </c>
      <c r="N993" t="s">
        <v>1241</v>
      </c>
    </row>
    <row r="994" spans="1:14">
      <c r="A994" s="1" t="s">
        <v>3699</v>
      </c>
      <c r="B994" s="1" t="s">
        <v>3700</v>
      </c>
      <c r="C994" s="1" t="s">
        <v>1160</v>
      </c>
      <c r="D994" s="1" t="s">
        <v>1148</v>
      </c>
      <c r="E994" s="1" t="s">
        <v>1121</v>
      </c>
      <c r="F994" s="1" t="s">
        <v>1105</v>
      </c>
      <c r="G994" s="1" t="s">
        <v>1084</v>
      </c>
      <c r="H994">
        <v>42</v>
      </c>
      <c r="I994" t="s">
        <v>3701</v>
      </c>
      <c r="J994">
        <v>226646</v>
      </c>
      <c r="K994">
        <v>0.31</v>
      </c>
      <c r="L994" s="1" t="s">
        <v>1085</v>
      </c>
      <c r="M994" s="1"/>
      <c r="N994" t="s">
        <v>1241</v>
      </c>
    </row>
    <row r="995" spans="1:14">
      <c r="A995" s="1" t="s">
        <v>3702</v>
      </c>
      <c r="B995" s="1" t="s">
        <v>3703</v>
      </c>
      <c r="C995" s="1" t="s">
        <v>1152</v>
      </c>
      <c r="D995" s="1" t="s">
        <v>1127</v>
      </c>
      <c r="E995" s="1" t="s">
        <v>1121</v>
      </c>
      <c r="F995" s="1" t="s">
        <v>1083</v>
      </c>
      <c r="G995" s="1" t="s">
        <v>1084</v>
      </c>
      <c r="H995">
        <v>38</v>
      </c>
      <c r="I995" t="s">
        <v>3704</v>
      </c>
      <c r="J995">
        <v>152253</v>
      </c>
      <c r="K995">
        <v>0.12</v>
      </c>
      <c r="L995" s="1" t="s">
        <v>1085</v>
      </c>
      <c r="M995" s="1"/>
      <c r="N995" t="s">
        <v>1241</v>
      </c>
    </row>
    <row r="996" spans="1:14">
      <c r="A996" s="1" t="s">
        <v>3705</v>
      </c>
      <c r="B996" s="1" t="s">
        <v>3706</v>
      </c>
      <c r="C996" s="1" t="s">
        <v>1160</v>
      </c>
      <c r="D996" s="1" t="s">
        <v>1081</v>
      </c>
      <c r="E996" s="1" t="s">
        <v>1121</v>
      </c>
      <c r="F996" s="1" t="s">
        <v>1083</v>
      </c>
      <c r="G996" s="1" t="s">
        <v>1084</v>
      </c>
      <c r="H996">
        <v>46</v>
      </c>
      <c r="I996" t="s">
        <v>3707</v>
      </c>
      <c r="J996">
        <v>195471</v>
      </c>
      <c r="K996">
        <v>0.36</v>
      </c>
      <c r="L996" s="1" t="s">
        <v>1085</v>
      </c>
      <c r="M996" s="1"/>
      <c r="N996" t="s">
        <v>1241</v>
      </c>
    </row>
    <row r="997" spans="1:14">
      <c r="A997" s="1" t="s">
        <v>3708</v>
      </c>
      <c r="B997" s="1" t="s">
        <v>3709</v>
      </c>
      <c r="C997" s="1" t="s">
        <v>1560</v>
      </c>
      <c r="D997" s="1" t="s">
        <v>1097</v>
      </c>
      <c r="E997" s="1" t="s">
        <v>1121</v>
      </c>
      <c r="F997" s="1" t="s">
        <v>1105</v>
      </c>
      <c r="G997" s="1" t="s">
        <v>1106</v>
      </c>
      <c r="H997">
        <v>48</v>
      </c>
      <c r="I997" t="s">
        <v>3710</v>
      </c>
      <c r="K997">
        <v>0</v>
      </c>
      <c r="L997" s="1"/>
      <c r="M997" s="1" t="s">
        <v>1222</v>
      </c>
      <c r="N997" t="s">
        <v>1241</v>
      </c>
    </row>
    <row r="998" spans="1:14">
      <c r="A998" s="1" t="s">
        <v>3711</v>
      </c>
      <c r="B998" s="1" t="s">
        <v>3712</v>
      </c>
      <c r="C998" s="1" t="s">
        <v>1089</v>
      </c>
      <c r="D998" s="1" t="s">
        <v>1127</v>
      </c>
      <c r="E998" s="1" t="s">
        <v>1091</v>
      </c>
      <c r="F998" s="1" t="s">
        <v>1105</v>
      </c>
      <c r="G998" s="1"/>
      <c r="H998">
        <v>63</v>
      </c>
      <c r="I998" t="s">
        <v>3713</v>
      </c>
      <c r="K998">
        <v>0</v>
      </c>
      <c r="L998" s="1"/>
      <c r="M998" s="1"/>
      <c r="N998" t="s">
        <v>1241</v>
      </c>
    </row>
    <row r="999" spans="1:14">
      <c r="A999" s="1" t="s">
        <v>3714</v>
      </c>
      <c r="B999" s="1" t="s">
        <v>3715</v>
      </c>
      <c r="C999" s="1"/>
      <c r="D999" s="1" t="s">
        <v>1090</v>
      </c>
      <c r="E999" s="1" t="s">
        <v>1098</v>
      </c>
      <c r="F999" s="1" t="s">
        <v>1105</v>
      </c>
      <c r="G999" s="1" t="s">
        <v>1084</v>
      </c>
      <c r="H999">
        <v>31</v>
      </c>
      <c r="I999" t="s">
        <v>3716</v>
      </c>
      <c r="K999">
        <v>0</v>
      </c>
      <c r="L999" s="1" t="s">
        <v>1085</v>
      </c>
      <c r="M999" s="1"/>
      <c r="N999" t="s">
        <v>1241</v>
      </c>
    </row>
    <row r="1000" spans="1:14">
      <c r="A1000" s="1" t="s">
        <v>3717</v>
      </c>
      <c r="B1000" s="1" t="s">
        <v>3718</v>
      </c>
      <c r="C1000" s="1"/>
      <c r="D1000" s="1" t="s">
        <v>1081</v>
      </c>
      <c r="E1000" s="1" t="s">
        <v>1082</v>
      </c>
      <c r="F1000" s="1" t="s">
        <v>1083</v>
      </c>
      <c r="G1000" s="1" t="s">
        <v>1084</v>
      </c>
      <c r="H1000">
        <v>52</v>
      </c>
      <c r="I1000" t="s">
        <v>1732</v>
      </c>
      <c r="L1000" s="1" t="s">
        <v>1085</v>
      </c>
      <c r="M1000" s="1"/>
      <c r="N1000" t="s">
        <v>1241</v>
      </c>
    </row>
    <row r="1001" spans="1:14">
      <c r="A1001" s="1" t="s">
        <v>3719</v>
      </c>
      <c r="B1001" s="1" t="s">
        <v>3720</v>
      </c>
      <c r="C1001" s="1"/>
      <c r="D1001" s="1" t="s">
        <v>1090</v>
      </c>
      <c r="E1001" s="1" t="s">
        <v>1091</v>
      </c>
      <c r="F1001" s="1" t="s">
        <v>1105</v>
      </c>
      <c r="G1001" s="1" t="s">
        <v>1153</v>
      </c>
      <c r="H1001">
        <v>27</v>
      </c>
      <c r="I1001">
        <v>44410</v>
      </c>
      <c r="J1001">
        <v>51321</v>
      </c>
      <c r="L1001" s="1"/>
      <c r="M1001" s="1" t="s">
        <v>1107</v>
      </c>
      <c r="N1001" t="s">
        <v>1241</v>
      </c>
    </row>
    <row r="1002" spans="1:14">
      <c r="A1002" s="1" t="s">
        <v>1078</v>
      </c>
      <c r="B1002" s="1" t="s">
        <v>1079</v>
      </c>
      <c r="C1002" s="1"/>
      <c r="D1002" s="1" t="s">
        <v>1081</v>
      </c>
      <c r="E1002" s="1" t="s">
        <v>1082</v>
      </c>
      <c r="F1002" s="1" t="s">
        <v>1083</v>
      </c>
      <c r="G1002" s="1" t="s">
        <v>1084</v>
      </c>
      <c r="H1002">
        <v>47</v>
      </c>
      <c r="I1002">
        <v>44683</v>
      </c>
      <c r="J1002">
        <v>92368</v>
      </c>
      <c r="K1002">
        <v>0</v>
      </c>
      <c r="L1002" s="1"/>
      <c r="M1002" s="1" t="s">
        <v>1086</v>
      </c>
      <c r="N1002" t="s">
        <v>1241</v>
      </c>
    </row>
    <row r="1003" spans="1:14">
      <c r="A1003" s="1" t="s">
        <v>1087</v>
      </c>
      <c r="B1003" s="1" t="s">
        <v>1088</v>
      </c>
      <c r="C1003" s="1"/>
      <c r="D1003" s="1" t="s">
        <v>1090</v>
      </c>
      <c r="E1003" s="1" t="s">
        <v>1091</v>
      </c>
      <c r="F1003" s="1" t="s">
        <v>1083</v>
      </c>
      <c r="G1003" s="1" t="s">
        <v>1084</v>
      </c>
      <c r="H1003">
        <v>58</v>
      </c>
      <c r="I1003" t="s">
        <v>1092</v>
      </c>
      <c r="J1003">
        <v>45703</v>
      </c>
      <c r="K1003">
        <v>0</v>
      </c>
      <c r="L1003" s="1"/>
      <c r="M1003" s="1" t="s">
        <v>1093</v>
      </c>
      <c r="N1003" t="s">
        <v>1241</v>
      </c>
    </row>
    <row r="1004" spans="1:14">
      <c r="A1004" s="1" t="s">
        <v>1094</v>
      </c>
      <c r="B1004" s="1" t="s">
        <v>1095</v>
      </c>
      <c r="C1004" s="1"/>
      <c r="D1004" s="1" t="s">
        <v>1097</v>
      </c>
      <c r="E1004" s="1" t="s">
        <v>1098</v>
      </c>
      <c r="F1004" s="1" t="s">
        <v>1083</v>
      </c>
      <c r="G1004" s="1" t="s">
        <v>1084</v>
      </c>
      <c r="H1004">
        <v>34</v>
      </c>
      <c r="I1004" t="s">
        <v>1099</v>
      </c>
      <c r="K1004">
        <v>0</v>
      </c>
      <c r="L1004" s="1" t="s">
        <v>1100</v>
      </c>
      <c r="M1004" s="1" t="s">
        <v>1101</v>
      </c>
      <c r="N1004" t="s">
        <v>1241</v>
      </c>
    </row>
    <row r="1005" spans="1:14">
      <c r="A1005" s="1" t="s">
        <v>1102</v>
      </c>
      <c r="B1005" s="1" t="s">
        <v>1103</v>
      </c>
      <c r="C1005" s="1"/>
      <c r="D1005" s="1" t="s">
        <v>1097</v>
      </c>
      <c r="E1005" s="1" t="s">
        <v>1091</v>
      </c>
      <c r="F1005" s="1" t="s">
        <v>1105</v>
      </c>
      <c r="G1005" s="1" t="s">
        <v>1106</v>
      </c>
      <c r="H1005">
        <v>39</v>
      </c>
      <c r="I1005">
        <v>43285</v>
      </c>
      <c r="K1005">
        <v>0</v>
      </c>
      <c r="L1005" s="1" t="s">
        <v>1085</v>
      </c>
      <c r="M1005" s="1" t="s">
        <v>1107</v>
      </c>
      <c r="N1005" t="s">
        <v>1241</v>
      </c>
    </row>
    <row r="1006" spans="1:14">
      <c r="A1006" s="1" t="s">
        <v>1108</v>
      </c>
      <c r="B1006" s="1" t="s">
        <v>1109</v>
      </c>
      <c r="C1006" s="1"/>
      <c r="D1006" s="1" t="s">
        <v>1081</v>
      </c>
      <c r="E1006" s="1" t="s">
        <v>1091</v>
      </c>
      <c r="F1006" s="1" t="s">
        <v>1105</v>
      </c>
      <c r="G1006" s="1" t="s">
        <v>1106</v>
      </c>
      <c r="H1006">
        <v>42</v>
      </c>
      <c r="I1006" t="s">
        <v>1111</v>
      </c>
      <c r="K1006">
        <v>0.24</v>
      </c>
      <c r="L1006" s="1" t="s">
        <v>1085</v>
      </c>
      <c r="M1006" s="1" t="s">
        <v>1112</v>
      </c>
      <c r="N1006" t="s">
        <v>1241</v>
      </c>
    </row>
    <row r="1007" spans="1:14">
      <c r="A1007" s="1" t="s">
        <v>1113</v>
      </c>
      <c r="B1007" s="1" t="s">
        <v>1114</v>
      </c>
      <c r="C1007" s="1"/>
      <c r="D1007" s="1" t="s">
        <v>1097</v>
      </c>
      <c r="E1007" s="1" t="s">
        <v>1082</v>
      </c>
      <c r="F1007" s="1"/>
      <c r="G1007" s="1" t="s">
        <v>1084</v>
      </c>
      <c r="H1007">
        <v>62</v>
      </c>
      <c r="I1007" t="s">
        <v>1115</v>
      </c>
      <c r="K1007">
        <v>0</v>
      </c>
      <c r="L1007" s="1" t="s">
        <v>1085</v>
      </c>
      <c r="M1007" s="1" t="s">
        <v>1116</v>
      </c>
      <c r="N1007" t="s">
        <v>1242</v>
      </c>
    </row>
    <row r="1008" spans="1:14">
      <c r="A1008" s="1" t="s">
        <v>1117</v>
      </c>
      <c r="B1008" s="1" t="s">
        <v>1118</v>
      </c>
      <c r="C1008" s="1" t="s">
        <v>1119</v>
      </c>
      <c r="D1008" s="1"/>
      <c r="E1008" s="1"/>
      <c r="F1008" s="1"/>
      <c r="G1008" s="1"/>
      <c r="H1008">
        <v>58</v>
      </c>
      <c r="I1008" t="s">
        <v>1122</v>
      </c>
      <c r="K1008">
        <v>0</v>
      </c>
      <c r="L1008" s="1" t="s">
        <v>1100</v>
      </c>
      <c r="M1008" s="1" t="s">
        <v>1123</v>
      </c>
      <c r="N1008" t="s">
        <v>1241</v>
      </c>
    </row>
    <row r="1009" spans="1:14">
      <c r="A1009" s="1" t="s">
        <v>1124</v>
      </c>
      <c r="B1009" s="1" t="s">
        <v>1125</v>
      </c>
      <c r="C1009" s="1" t="s">
        <v>1126</v>
      </c>
      <c r="D1009" s="1" t="s">
        <v>1127</v>
      </c>
      <c r="E1009" s="1" t="s">
        <v>1091</v>
      </c>
      <c r="F1009" s="1" t="s">
        <v>1083</v>
      </c>
      <c r="G1009" s="1"/>
      <c r="H1009">
        <v>62</v>
      </c>
      <c r="I1009" t="s">
        <v>1128</v>
      </c>
      <c r="J1009">
        <v>69674</v>
      </c>
      <c r="K1009">
        <v>0</v>
      </c>
      <c r="L1009" s="1" t="s">
        <v>1100</v>
      </c>
      <c r="M1009" s="1" t="s">
        <v>1129</v>
      </c>
      <c r="N1009" t="s">
        <v>1241</v>
      </c>
    </row>
    <row r="1010" spans="1:14">
      <c r="A1010" s="1" t="s">
        <v>1130</v>
      </c>
      <c r="B1010" s="1" t="s">
        <v>1131</v>
      </c>
      <c r="C1010" s="1" t="s">
        <v>1132</v>
      </c>
      <c r="D1010" s="1" t="s">
        <v>1097</v>
      </c>
      <c r="E1010" s="1" t="s">
        <v>1082</v>
      </c>
      <c r="F1010" s="1" t="s">
        <v>1105</v>
      </c>
      <c r="G1010" s="1"/>
      <c r="H1010">
        <v>38</v>
      </c>
      <c r="I1010">
        <v>40795</v>
      </c>
      <c r="J1010">
        <v>97630</v>
      </c>
      <c r="K1010">
        <v>0</v>
      </c>
      <c r="L1010" s="1" t="s">
        <v>1085</v>
      </c>
      <c r="M1010" s="1" t="s">
        <v>1107</v>
      </c>
      <c r="N1010" t="s">
        <v>1241</v>
      </c>
    </row>
    <row r="1011" spans="1:14">
      <c r="A1011" s="1" t="s">
        <v>1134</v>
      </c>
      <c r="B1011" s="1" t="s">
        <v>1135</v>
      </c>
      <c r="C1011" s="1" t="s">
        <v>1136</v>
      </c>
      <c r="D1011" s="1" t="s">
        <v>1127</v>
      </c>
      <c r="E1011" s="1" t="s">
        <v>1121</v>
      </c>
      <c r="F1011" s="1" t="s">
        <v>1083</v>
      </c>
      <c r="G1011" s="1"/>
      <c r="H1011">
        <v>52</v>
      </c>
      <c r="I1011">
        <v>42126</v>
      </c>
      <c r="J1011">
        <v>105879</v>
      </c>
      <c r="K1011">
        <v>0.1</v>
      </c>
      <c r="L1011" s="1" t="s">
        <v>1085</v>
      </c>
      <c r="M1011" s="1" t="s">
        <v>1137</v>
      </c>
      <c r="N1011" t="s">
        <v>1241</v>
      </c>
    </row>
    <row r="1012" spans="1:14">
      <c r="A1012" s="1" t="s">
        <v>1138</v>
      </c>
      <c r="B1012" s="1" t="s">
        <v>1139</v>
      </c>
      <c r="C1012" s="1" t="s">
        <v>1140</v>
      </c>
      <c r="D1012" s="1" t="s">
        <v>1097</v>
      </c>
      <c r="E1012" s="1" t="s">
        <v>1082</v>
      </c>
      <c r="F1012" s="1" t="s">
        <v>1083</v>
      </c>
      <c r="G1012" s="1"/>
      <c r="H1012">
        <v>49</v>
      </c>
      <c r="I1012">
        <v>37965</v>
      </c>
      <c r="J1012">
        <v>40499</v>
      </c>
      <c r="K1012">
        <v>0</v>
      </c>
      <c r="L1012" s="1" t="s">
        <v>1085</v>
      </c>
      <c r="M1012" s="1" t="s">
        <v>1137</v>
      </c>
      <c r="N1012" t="s">
        <v>1241</v>
      </c>
    </row>
    <row r="1013" spans="1:14">
      <c r="A1013" s="1" t="s">
        <v>1141</v>
      </c>
      <c r="B1013" s="1" t="s">
        <v>1142</v>
      </c>
      <c r="C1013" s="1" t="s">
        <v>1119</v>
      </c>
      <c r="D1013" s="1" t="s">
        <v>1127</v>
      </c>
      <c r="E1013" s="1" t="s">
        <v>1121</v>
      </c>
      <c r="F1013" s="1" t="s">
        <v>1105</v>
      </c>
      <c r="G1013" s="1"/>
      <c r="H1013">
        <v>63</v>
      </c>
      <c r="I1013">
        <v>41706</v>
      </c>
      <c r="J1013">
        <v>71418</v>
      </c>
      <c r="K1013">
        <v>0</v>
      </c>
      <c r="L1013" s="1" t="s">
        <v>1085</v>
      </c>
      <c r="M1013" s="1" t="s">
        <v>1116</v>
      </c>
      <c r="N1013" t="s">
        <v>1241</v>
      </c>
    </row>
    <row r="1014" spans="1:14">
      <c r="A1014" s="1" t="s">
        <v>1143</v>
      </c>
      <c r="B1014" s="1" t="s">
        <v>1144</v>
      </c>
      <c r="C1014" s="1" t="s">
        <v>1110</v>
      </c>
      <c r="D1014" s="1" t="s">
        <v>1097</v>
      </c>
      <c r="E1014" s="1" t="s">
        <v>1082</v>
      </c>
      <c r="F1014" s="1" t="s">
        <v>1083</v>
      </c>
      <c r="G1014" s="1"/>
      <c r="H1014">
        <v>45</v>
      </c>
      <c r="I1014" t="s">
        <v>1145</v>
      </c>
      <c r="J1014">
        <v>150558</v>
      </c>
      <c r="K1014">
        <v>0.23</v>
      </c>
      <c r="L1014" s="1" t="s">
        <v>1100</v>
      </c>
      <c r="M1014" s="1" t="s">
        <v>1123</v>
      </c>
      <c r="N1014" t="s">
        <v>1241</v>
      </c>
    </row>
    <row r="1015" spans="1:14">
      <c r="A1015" s="1" t="s">
        <v>3629</v>
      </c>
      <c r="B1015" s="1" t="s">
        <v>3721</v>
      </c>
      <c r="C1015" s="1" t="s">
        <v>1119</v>
      </c>
      <c r="D1015" s="1" t="s">
        <v>1120</v>
      </c>
      <c r="E1015" s="1" t="s">
        <v>1098</v>
      </c>
      <c r="F1015" s="1" t="s">
        <v>1105</v>
      </c>
      <c r="G1015" s="1"/>
      <c r="H1015">
        <v>49</v>
      </c>
      <c r="I1015" t="s">
        <v>3630</v>
      </c>
      <c r="K1015">
        <v>0</v>
      </c>
      <c r="L1015" s="1" t="s">
        <v>1085</v>
      </c>
      <c r="M1015" s="1" t="s">
        <v>1112</v>
      </c>
      <c r="N1015" t="s">
        <v>3631</v>
      </c>
    </row>
    <row r="1016" spans="1:14">
      <c r="A1016" s="1" t="s">
        <v>3632</v>
      </c>
      <c r="B1016" s="1" t="s">
        <v>3722</v>
      </c>
      <c r="C1016" s="1" t="s">
        <v>1160</v>
      </c>
      <c r="D1016" s="1" t="s">
        <v>1081</v>
      </c>
      <c r="E1016" s="1" t="s">
        <v>1121</v>
      </c>
      <c r="F1016" s="1" t="s">
        <v>1105</v>
      </c>
      <c r="G1016" s="1"/>
      <c r="H1016">
        <v>43</v>
      </c>
      <c r="I1016">
        <v>40858</v>
      </c>
      <c r="J1016">
        <v>185211</v>
      </c>
      <c r="K1016">
        <v>0.39</v>
      </c>
      <c r="L1016" s="1" t="s">
        <v>1221</v>
      </c>
      <c r="M1016" s="1" t="s">
        <v>1298</v>
      </c>
      <c r="N1016" t="s">
        <v>1241</v>
      </c>
    </row>
    <row r="1017" spans="1:14">
      <c r="A1017" s="1" t="s">
        <v>3633</v>
      </c>
      <c r="B1017" s="1" t="s">
        <v>3723</v>
      </c>
      <c r="C1017" s="1" t="s">
        <v>1136</v>
      </c>
      <c r="D1017" s="1" t="s">
        <v>1148</v>
      </c>
      <c r="E1017" s="1" t="s">
        <v>1121</v>
      </c>
      <c r="F1017" s="1" t="s">
        <v>1105</v>
      </c>
      <c r="G1017" s="1"/>
      <c r="H1017">
        <v>53</v>
      </c>
      <c r="I1017">
        <v>41763</v>
      </c>
      <c r="J1017">
        <v>125099</v>
      </c>
      <c r="K1017">
        <v>0.08</v>
      </c>
      <c r="L1017" s="1" t="s">
        <v>1100</v>
      </c>
      <c r="M1017" s="1" t="s">
        <v>1129</v>
      </c>
      <c r="N1017" t="s">
        <v>1241</v>
      </c>
    </row>
    <row r="1018" spans="1:14">
      <c r="A1018" s="1" t="s">
        <v>3724</v>
      </c>
      <c r="B1018" s="1" t="s">
        <v>3725</v>
      </c>
      <c r="C1018" s="1" t="s">
        <v>1119</v>
      </c>
      <c r="D1018" s="1" t="s">
        <v>1090</v>
      </c>
      <c r="E1018" s="1" t="s">
        <v>1082</v>
      </c>
      <c r="F1018" s="1" t="s">
        <v>1083</v>
      </c>
      <c r="G1018" s="1" t="s">
        <v>1106</v>
      </c>
      <c r="H1018">
        <v>41</v>
      </c>
      <c r="I1018" t="s">
        <v>3634</v>
      </c>
      <c r="J1018">
        <v>84627</v>
      </c>
      <c r="K1018">
        <v>0</v>
      </c>
      <c r="L1018" s="1" t="s">
        <v>1221</v>
      </c>
      <c r="M1018" s="1" t="s">
        <v>1443</v>
      </c>
      <c r="N1018" t="s">
        <v>1241</v>
      </c>
    </row>
    <row r="1019" spans="1:14">
      <c r="A1019" s="1" t="s">
        <v>3726</v>
      </c>
      <c r="B1019" s="1" t="s">
        <v>3635</v>
      </c>
      <c r="C1019" s="1" t="s">
        <v>1160</v>
      </c>
      <c r="D1019" s="1" t="s">
        <v>1081</v>
      </c>
      <c r="E1019" s="1" t="s">
        <v>1091</v>
      </c>
      <c r="F1019" s="1" t="s">
        <v>1083</v>
      </c>
      <c r="G1019" s="1" t="s">
        <v>1084</v>
      </c>
      <c r="H1019">
        <v>26</v>
      </c>
      <c r="I1019">
        <v>43864</v>
      </c>
      <c r="J1019">
        <v>211114</v>
      </c>
      <c r="K1019">
        <v>0.3</v>
      </c>
      <c r="L1019" s="1" t="s">
        <v>1085</v>
      </c>
      <c r="M1019" s="1" t="s">
        <v>1137</v>
      </c>
      <c r="N1019" t="s">
        <v>1241</v>
      </c>
    </row>
    <row r="1020" spans="1:14">
      <c r="A1020" s="1" t="s">
        <v>3636</v>
      </c>
      <c r="B1020" s="1" t="s">
        <v>3637</v>
      </c>
      <c r="C1020" s="1" t="s">
        <v>1119</v>
      </c>
      <c r="D1020" s="1" t="s">
        <v>1148</v>
      </c>
      <c r="E1020" s="1" t="s">
        <v>1098</v>
      </c>
      <c r="F1020" s="1" t="s">
        <v>1105</v>
      </c>
      <c r="G1020" s="1" t="s">
        <v>1084</v>
      </c>
      <c r="H1020">
        <v>57</v>
      </c>
      <c r="I1020" t="s">
        <v>3638</v>
      </c>
      <c r="J1020">
        <v>73117</v>
      </c>
      <c r="L1020" s="1" t="s">
        <v>1085</v>
      </c>
      <c r="M1020" s="1" t="s">
        <v>1086</v>
      </c>
      <c r="N1020" t="s">
        <v>1241</v>
      </c>
    </row>
    <row r="1021" spans="1:14">
      <c r="A1021" s="1" t="s">
        <v>3639</v>
      </c>
      <c r="B1021" s="1" t="s">
        <v>3640</v>
      </c>
      <c r="C1021" s="1" t="s">
        <v>1089</v>
      </c>
      <c r="D1021" s="1" t="s">
        <v>1148</v>
      </c>
      <c r="E1021" s="1" t="s">
        <v>1121</v>
      </c>
      <c r="F1021" s="1" t="s">
        <v>1083</v>
      </c>
      <c r="G1021" s="1" t="s">
        <v>1106</v>
      </c>
      <c r="H1021">
        <v>41</v>
      </c>
      <c r="I1021" t="s">
        <v>3641</v>
      </c>
      <c r="K1021">
        <v>0</v>
      </c>
      <c r="L1021" s="1" t="s">
        <v>1085</v>
      </c>
      <c r="M1021" s="1" t="s">
        <v>1112</v>
      </c>
      <c r="N1021" t="s">
        <v>1241</v>
      </c>
    </row>
    <row r="1022" spans="1:14">
      <c r="A1022" s="1"/>
      <c r="B1022" s="1" t="s">
        <v>3550</v>
      </c>
      <c r="C1022" s="1" t="s">
        <v>1285</v>
      </c>
      <c r="D1022" s="1" t="s">
        <v>1097</v>
      </c>
      <c r="E1022" s="1" t="s">
        <v>1098</v>
      </c>
      <c r="F1022" s="1" t="s">
        <v>1083</v>
      </c>
      <c r="G1022" s="1" t="s">
        <v>1133</v>
      </c>
      <c r="H1022">
        <v>52</v>
      </c>
      <c r="I1022" t="s">
        <v>3551</v>
      </c>
      <c r="J1022">
        <v>73779</v>
      </c>
      <c r="K1022">
        <v>0</v>
      </c>
      <c r="L1022" s="1" t="s">
        <v>1085</v>
      </c>
      <c r="M1022" s="1" t="s">
        <v>1093</v>
      </c>
      <c r="N1022" t="s">
        <v>1241</v>
      </c>
    </row>
    <row r="1023" spans="1:14">
      <c r="A1023" s="1" t="s">
        <v>3552</v>
      </c>
      <c r="B1023" s="1"/>
      <c r="C1023" s="1" t="s">
        <v>1160</v>
      </c>
      <c r="D1023" s="1" t="s">
        <v>1120</v>
      </c>
      <c r="E1023" s="1" t="s">
        <v>1091</v>
      </c>
      <c r="F1023" s="1" t="s">
        <v>1105</v>
      </c>
      <c r="G1023" s="1" t="s">
        <v>1106</v>
      </c>
      <c r="H1023">
        <v>56</v>
      </c>
      <c r="J1023">
        <v>231699</v>
      </c>
      <c r="K1023">
        <v>0.32</v>
      </c>
      <c r="L1023" s="1" t="s">
        <v>1221</v>
      </c>
      <c r="M1023" s="1" t="s">
        <v>1443</v>
      </c>
      <c r="N1023" t="s">
        <v>1241</v>
      </c>
    </row>
    <row r="1024" spans="1:14">
      <c r="A1024" s="1" t="s">
        <v>3554</v>
      </c>
      <c r="B1024" s="1" t="s">
        <v>3555</v>
      </c>
      <c r="C1024" s="1" t="s">
        <v>1160</v>
      </c>
      <c r="D1024" s="1" t="s">
        <v>1127</v>
      </c>
      <c r="E1024" s="1" t="s">
        <v>1091</v>
      </c>
      <c r="F1024" s="1" t="s">
        <v>1083</v>
      </c>
      <c r="G1024" s="1" t="s">
        <v>1153</v>
      </c>
      <c r="H1024">
        <v>37</v>
      </c>
      <c r="J1024">
        <v>199512</v>
      </c>
      <c r="K1024">
        <v>0.35</v>
      </c>
      <c r="L1024" s="1" t="s">
        <v>1085</v>
      </c>
      <c r="M1024" s="1" t="s">
        <v>1112</v>
      </c>
      <c r="N1024" t="s">
        <v>1241</v>
      </c>
    </row>
    <row r="1025" spans="1:14">
      <c r="A1025" s="1"/>
      <c r="B1025" s="1"/>
      <c r="C1025" s="1" t="s">
        <v>1560</v>
      </c>
      <c r="D1025" s="1" t="s">
        <v>1097</v>
      </c>
      <c r="E1025" s="1" t="s">
        <v>1091</v>
      </c>
      <c r="F1025" s="1" t="s">
        <v>1083</v>
      </c>
      <c r="G1025" s="1" t="s">
        <v>1133</v>
      </c>
      <c r="H1025">
        <v>29</v>
      </c>
      <c r="I1025">
        <v>44808</v>
      </c>
      <c r="J1025">
        <v>77557</v>
      </c>
      <c r="K1025">
        <v>0</v>
      </c>
      <c r="L1025" s="1" t="s">
        <v>1085</v>
      </c>
      <c r="M1025" s="1" t="s">
        <v>1137</v>
      </c>
      <c r="N1025">
        <v>44904</v>
      </c>
    </row>
    <row r="1026" spans="1:14">
      <c r="A1026" s="1" t="s">
        <v>3559</v>
      </c>
      <c r="B1026" s="1"/>
      <c r="C1026" s="1" t="s">
        <v>1119</v>
      </c>
      <c r="D1026" s="1" t="s">
        <v>1090</v>
      </c>
      <c r="E1026" s="1" t="s">
        <v>1098</v>
      </c>
      <c r="F1026" s="1" t="s">
        <v>1105</v>
      </c>
      <c r="G1026" s="1" t="s">
        <v>1084</v>
      </c>
      <c r="H1026">
        <v>59</v>
      </c>
      <c r="I1026" t="s">
        <v>3561</v>
      </c>
      <c r="J1026">
        <v>99760</v>
      </c>
      <c r="K1026">
        <v>0</v>
      </c>
      <c r="L1026" s="1" t="s">
        <v>1100</v>
      </c>
      <c r="M1026" s="1" t="s">
        <v>1123</v>
      </c>
      <c r="N1026" t="s">
        <v>1241</v>
      </c>
    </row>
    <row r="1027" spans="1:14">
      <c r="A1027" s="1" t="s">
        <v>3562</v>
      </c>
      <c r="B1027" s="1" t="s">
        <v>3563</v>
      </c>
      <c r="C1027" s="1" t="s">
        <v>1119</v>
      </c>
      <c r="D1027" s="1" t="s">
        <v>1148</v>
      </c>
      <c r="E1027" s="1" t="s">
        <v>1121</v>
      </c>
      <c r="F1027" s="1" t="s">
        <v>1083</v>
      </c>
      <c r="G1027" s="1" t="s">
        <v>1084</v>
      </c>
      <c r="H1027">
        <v>50</v>
      </c>
      <c r="I1027">
        <v>35286</v>
      </c>
      <c r="J1027">
        <v>96297</v>
      </c>
      <c r="K1027">
        <v>0</v>
      </c>
      <c r="L1027" s="1" t="s">
        <v>1085</v>
      </c>
      <c r="M1027" s="1" t="s">
        <v>1137</v>
      </c>
      <c r="N1027" t="s">
        <v>1241</v>
      </c>
    </row>
    <row r="1028" spans="1:14">
      <c r="A1028" s="1" t="s">
        <v>3564</v>
      </c>
      <c r="B1028" s="1" t="s">
        <v>3565</v>
      </c>
      <c r="C1028" s="1" t="s">
        <v>1269</v>
      </c>
      <c r="D1028" s="1" t="s">
        <v>1097</v>
      </c>
      <c r="E1028" s="1" t="s">
        <v>1121</v>
      </c>
      <c r="F1028" s="1" t="s">
        <v>1083</v>
      </c>
      <c r="G1028" s="1" t="s">
        <v>1084</v>
      </c>
      <c r="H1028">
        <v>48</v>
      </c>
      <c r="I1028" t="s">
        <v>3566</v>
      </c>
      <c r="J1028">
        <v>53593</v>
      </c>
      <c r="K1028">
        <v>0</v>
      </c>
      <c r="L1028" s="1" t="s">
        <v>1100</v>
      </c>
      <c r="M1028" s="1" t="s">
        <v>1129</v>
      </c>
      <c r="N1028" t="s">
        <v>1241</v>
      </c>
    </row>
    <row r="1029" spans="1:14">
      <c r="A1029" s="1" t="s">
        <v>3567</v>
      </c>
      <c r="B1029" s="1" t="s">
        <v>3568</v>
      </c>
      <c r="C1029" s="1" t="s">
        <v>1110</v>
      </c>
      <c r="D1029" s="1" t="s">
        <v>1148</v>
      </c>
      <c r="E1029" s="1" t="s">
        <v>1082</v>
      </c>
      <c r="F1029" s="1" t="s">
        <v>1105</v>
      </c>
      <c r="G1029" s="1" t="s">
        <v>1106</v>
      </c>
      <c r="H1029">
        <v>44</v>
      </c>
      <c r="I1029">
        <v>43162</v>
      </c>
      <c r="J1029">
        <v>167660</v>
      </c>
      <c r="K1029">
        <v>0.28999999999999998</v>
      </c>
      <c r="L1029" s="1" t="s">
        <v>1221</v>
      </c>
      <c r="M1029" s="1" t="s">
        <v>1298</v>
      </c>
      <c r="N1029" t="s">
        <v>1241</v>
      </c>
    </row>
    <row r="1030" spans="1:14">
      <c r="A1030" s="1" t="s">
        <v>3577</v>
      </c>
      <c r="B1030" s="1" t="s">
        <v>3727</v>
      </c>
      <c r="C1030" s="1"/>
      <c r="D1030" s="1" t="s">
        <v>1148</v>
      </c>
      <c r="E1030" s="1" t="s">
        <v>1098</v>
      </c>
      <c r="F1030" s="1" t="s">
        <v>1083</v>
      </c>
      <c r="G1030" s="1"/>
      <c r="H1030">
        <v>31</v>
      </c>
      <c r="I1030" t="s">
        <v>3578</v>
      </c>
      <c r="J1030">
        <v>234203</v>
      </c>
      <c r="K1030">
        <v>0.36</v>
      </c>
      <c r="L1030" s="1" t="s">
        <v>1085</v>
      </c>
      <c r="M1030" s="1" t="s">
        <v>1107</v>
      </c>
      <c r="N1030" t="s">
        <v>1241</v>
      </c>
    </row>
    <row r="1031" spans="1:14">
      <c r="A1031" s="1" t="s">
        <v>3579</v>
      </c>
      <c r="B1031" s="1" t="s">
        <v>3728</v>
      </c>
      <c r="C1031" s="1" t="s">
        <v>1152</v>
      </c>
      <c r="D1031" s="1" t="s">
        <v>1148</v>
      </c>
      <c r="E1031" s="1" t="s">
        <v>1091</v>
      </c>
      <c r="F1031" s="1" t="s">
        <v>1083</v>
      </c>
      <c r="G1031" s="1"/>
      <c r="H1031">
        <v>48</v>
      </c>
      <c r="I1031">
        <v>43806</v>
      </c>
      <c r="J1031">
        <v>121884</v>
      </c>
      <c r="K1031">
        <v>0.12</v>
      </c>
      <c r="L1031" s="1" t="s">
        <v>1085</v>
      </c>
      <c r="M1031" s="1" t="s">
        <v>1112</v>
      </c>
      <c r="N1031" t="s">
        <v>1241</v>
      </c>
    </row>
    <row r="1032" spans="1:14">
      <c r="A1032" s="1" t="s">
        <v>3580</v>
      </c>
      <c r="B1032" s="1" t="s">
        <v>3729</v>
      </c>
      <c r="C1032" s="1" t="s">
        <v>1160</v>
      </c>
      <c r="D1032" s="1" t="s">
        <v>1148</v>
      </c>
      <c r="E1032" s="1" t="s">
        <v>1098</v>
      </c>
      <c r="F1032" s="1" t="s">
        <v>1083</v>
      </c>
      <c r="G1032" s="1" t="s">
        <v>1084</v>
      </c>
      <c r="H1032">
        <v>61</v>
      </c>
      <c r="I1032" t="s">
        <v>3581</v>
      </c>
      <c r="J1032">
        <v>209680</v>
      </c>
      <c r="K1032">
        <v>0.34</v>
      </c>
      <c r="L1032" s="1" t="s">
        <v>1100</v>
      </c>
      <c r="M1032" s="1" t="s">
        <v>1101</v>
      </c>
      <c r="N1032" t="s">
        <v>1241</v>
      </c>
    </row>
    <row r="1033" spans="1:14">
      <c r="A1033" s="1" t="s">
        <v>3582</v>
      </c>
      <c r="B1033" s="1" t="s">
        <v>3730</v>
      </c>
      <c r="C1033" s="1" t="s">
        <v>1160</v>
      </c>
      <c r="D1033" s="1" t="s">
        <v>1097</v>
      </c>
      <c r="E1033" s="1"/>
      <c r="F1033" s="1" t="s">
        <v>1105</v>
      </c>
      <c r="G1033" s="1" t="s">
        <v>1133</v>
      </c>
      <c r="H1033">
        <v>42</v>
      </c>
      <c r="I1033">
        <v>40793</v>
      </c>
      <c r="J1033">
        <v>240940</v>
      </c>
      <c r="K1033">
        <v>0.34</v>
      </c>
      <c r="L1033" s="1" t="s">
        <v>1085</v>
      </c>
      <c r="M1033" s="1" t="s">
        <v>1116</v>
      </c>
      <c r="N1033">
        <v>42434</v>
      </c>
    </row>
    <row r="1034" spans="1:14">
      <c r="A1034" s="1" t="s">
        <v>3583</v>
      </c>
      <c r="B1034" s="1" t="s">
        <v>3731</v>
      </c>
      <c r="C1034" s="1" t="s">
        <v>1096</v>
      </c>
      <c r="D1034" s="1" t="s">
        <v>1097</v>
      </c>
      <c r="E1034" s="1" t="s">
        <v>1082</v>
      </c>
      <c r="F1034" s="1" t="s">
        <v>1105</v>
      </c>
      <c r="G1034" s="1" t="s">
        <v>1133</v>
      </c>
      <c r="H1034">
        <v>50</v>
      </c>
      <c r="I1034" t="s">
        <v>3732</v>
      </c>
      <c r="J1034">
        <v>63884</v>
      </c>
      <c r="K1034">
        <v>0</v>
      </c>
      <c r="L1034" s="1" t="s">
        <v>1085</v>
      </c>
      <c r="M1034" s="1" t="s">
        <v>1137</v>
      </c>
      <c r="N1034" t="s">
        <v>1241</v>
      </c>
    </row>
    <row r="1035" spans="1:14">
      <c r="A1035" s="1" t="s">
        <v>3584</v>
      </c>
      <c r="B1035" s="1" t="s">
        <v>3733</v>
      </c>
      <c r="C1035" s="1" t="s">
        <v>1275</v>
      </c>
      <c r="D1035" s="1" t="s">
        <v>1097</v>
      </c>
      <c r="E1035" s="1" t="s">
        <v>1121</v>
      </c>
      <c r="F1035" s="1" t="s">
        <v>1105</v>
      </c>
      <c r="G1035" s="1" t="s">
        <v>1133</v>
      </c>
      <c r="H1035">
        <v>46</v>
      </c>
      <c r="I1035" t="s">
        <v>3734</v>
      </c>
      <c r="K1035">
        <v>0</v>
      </c>
      <c r="L1035" s="1" t="s">
        <v>1085</v>
      </c>
      <c r="M1035" s="1" t="s">
        <v>1116</v>
      </c>
      <c r="N1035" t="s">
        <v>1241</v>
      </c>
    </row>
    <row r="1036" spans="1:14">
      <c r="A1036" s="1" t="s">
        <v>3585</v>
      </c>
      <c r="B1036" s="1" t="s">
        <v>3586</v>
      </c>
      <c r="C1036" s="1" t="s">
        <v>1165</v>
      </c>
      <c r="D1036" s="1"/>
      <c r="E1036" s="1" t="s">
        <v>1121</v>
      </c>
      <c r="F1036" s="1" t="s">
        <v>1105</v>
      </c>
      <c r="G1036" s="1" t="s">
        <v>1106</v>
      </c>
      <c r="H1036">
        <v>50</v>
      </c>
      <c r="I1036">
        <v>39427</v>
      </c>
      <c r="J1036">
        <v>67756</v>
      </c>
      <c r="K1036">
        <v>0</v>
      </c>
      <c r="L1036" s="1" t="s">
        <v>1085</v>
      </c>
      <c r="M1036" s="1" t="s">
        <v>1093</v>
      </c>
      <c r="N1036" t="s">
        <v>1241</v>
      </c>
    </row>
    <row r="1037" spans="1:14">
      <c r="A1037" s="1" t="s">
        <v>3587</v>
      </c>
      <c r="B1037" s="1" t="s">
        <v>3588</v>
      </c>
      <c r="C1037" s="1" t="s">
        <v>1110</v>
      </c>
      <c r="D1037" s="1"/>
      <c r="E1037" s="1"/>
      <c r="F1037" s="1" t="s">
        <v>1105</v>
      </c>
      <c r="G1037" s="1" t="s">
        <v>1106</v>
      </c>
      <c r="H1037">
        <v>62</v>
      </c>
      <c r="I1037" t="s">
        <v>3589</v>
      </c>
      <c r="J1037">
        <v>180256</v>
      </c>
      <c r="K1037">
        <v>0.2</v>
      </c>
      <c r="L1037" s="1"/>
      <c r="M1037" s="1" t="s">
        <v>1116</v>
      </c>
      <c r="N1037" t="s">
        <v>1241</v>
      </c>
    </row>
    <row r="1038" spans="1:14">
      <c r="A1038" s="1" t="s">
        <v>3590</v>
      </c>
      <c r="B1038" s="1" t="s">
        <v>3591</v>
      </c>
      <c r="C1038" s="1" t="s">
        <v>1110</v>
      </c>
      <c r="D1038" s="1" t="s">
        <v>1081</v>
      </c>
      <c r="E1038" s="1"/>
      <c r="F1038" s="1" t="s">
        <v>1105</v>
      </c>
      <c r="G1038" s="1" t="s">
        <v>1133</v>
      </c>
      <c r="H1038">
        <v>45</v>
      </c>
      <c r="I1038" t="s">
        <v>3592</v>
      </c>
      <c r="J1038">
        <v>183165</v>
      </c>
      <c r="K1038">
        <v>0.18</v>
      </c>
      <c r="L1038" s="1"/>
      <c r="M1038" s="1" t="s">
        <v>1137</v>
      </c>
      <c r="N1038" t="s">
        <v>1241</v>
      </c>
    </row>
    <row r="1039" spans="1:14">
      <c r="A1039" s="1" t="s">
        <v>3593</v>
      </c>
      <c r="B1039" s="1" t="s">
        <v>3594</v>
      </c>
      <c r="C1039" s="1"/>
      <c r="D1039" s="1" t="s">
        <v>1120</v>
      </c>
      <c r="E1039" s="1"/>
      <c r="F1039" s="1" t="s">
        <v>1083</v>
      </c>
      <c r="G1039" s="1" t="s">
        <v>1106</v>
      </c>
      <c r="H1039">
        <v>34</v>
      </c>
      <c r="I1039">
        <v>41092</v>
      </c>
      <c r="J1039">
        <v>195194</v>
      </c>
      <c r="K1039">
        <v>0.23</v>
      </c>
      <c r="L1039" s="1"/>
      <c r="M1039" s="1" t="s">
        <v>1093</v>
      </c>
      <c r="N1039" t="s">
        <v>1241</v>
      </c>
    </row>
    <row r="1040" spans="1:14">
      <c r="A1040" s="1" t="s">
        <v>3454</v>
      </c>
      <c r="B1040" s="1" t="s">
        <v>3455</v>
      </c>
      <c r="C1040" s="1"/>
      <c r="D1040" s="1" t="s">
        <v>1148</v>
      </c>
      <c r="E1040" s="1" t="s">
        <v>1082</v>
      </c>
      <c r="F1040" s="1" t="s">
        <v>1105</v>
      </c>
      <c r="G1040" s="1" t="s">
        <v>1133</v>
      </c>
      <c r="H1040">
        <v>35</v>
      </c>
      <c r="I1040">
        <v>41096</v>
      </c>
      <c r="J1040">
        <v>161453</v>
      </c>
      <c r="L1040" s="1"/>
      <c r="M1040" s="1" t="s">
        <v>1116</v>
      </c>
      <c r="N1040" t="s">
        <v>1241</v>
      </c>
    </row>
    <row r="1041" spans="1:14">
      <c r="A1041" s="1" t="s">
        <v>3456</v>
      </c>
      <c r="B1041" s="1" t="s">
        <v>3457</v>
      </c>
      <c r="C1041" s="1" t="s">
        <v>1126</v>
      </c>
      <c r="D1041" s="1" t="s">
        <v>1148</v>
      </c>
      <c r="E1041" s="1" t="s">
        <v>1082</v>
      </c>
      <c r="F1041" s="1" t="s">
        <v>1083</v>
      </c>
      <c r="G1041" s="1" t="s">
        <v>1106</v>
      </c>
      <c r="H1041">
        <v>31</v>
      </c>
      <c r="I1041" t="s">
        <v>3458</v>
      </c>
      <c r="J1041">
        <v>64234</v>
      </c>
      <c r="K1041">
        <v>0</v>
      </c>
      <c r="L1041" s="1" t="s">
        <v>1085</v>
      </c>
      <c r="M1041" s="1" t="s">
        <v>1107</v>
      </c>
      <c r="N1041">
        <v>44511</v>
      </c>
    </row>
    <row r="1042" spans="1:14">
      <c r="A1042" s="1" t="s">
        <v>3459</v>
      </c>
      <c r="B1042" s="1" t="s">
        <v>3460</v>
      </c>
      <c r="C1042" s="1" t="s">
        <v>1136</v>
      </c>
      <c r="D1042" s="1" t="s">
        <v>1097</v>
      </c>
      <c r="E1042" s="1" t="s">
        <v>1121</v>
      </c>
      <c r="F1042" s="1" t="s">
        <v>1083</v>
      </c>
      <c r="G1042" s="1" t="s">
        <v>1084</v>
      </c>
      <c r="H1042">
        <v>55</v>
      </c>
      <c r="I1042">
        <v>34675</v>
      </c>
      <c r="J1042">
        <v>103726</v>
      </c>
      <c r="K1042">
        <v>0.08</v>
      </c>
      <c r="L1042" s="1" t="s">
        <v>1100</v>
      </c>
      <c r="M1042" s="1" t="s">
        <v>1101</v>
      </c>
      <c r="N1042" t="s">
        <v>1241</v>
      </c>
    </row>
    <row r="1043" spans="1:14">
      <c r="A1043" s="1" t="s">
        <v>3461</v>
      </c>
      <c r="B1043" s="1" t="s">
        <v>3735</v>
      </c>
      <c r="C1043" s="1" t="s">
        <v>1318</v>
      </c>
      <c r="D1043" s="1" t="s">
        <v>1081</v>
      </c>
      <c r="E1043" s="1" t="s">
        <v>1098</v>
      </c>
      <c r="F1043" s="1" t="s">
        <v>1083</v>
      </c>
      <c r="G1043" s="1" t="s">
        <v>1084</v>
      </c>
      <c r="H1043">
        <v>46</v>
      </c>
      <c r="I1043" t="s">
        <v>3377</v>
      </c>
      <c r="J1043">
        <v>114260</v>
      </c>
      <c r="K1043">
        <v>0</v>
      </c>
      <c r="L1043" s="1" t="s">
        <v>1100</v>
      </c>
      <c r="M1043" s="1" t="s">
        <v>1129</v>
      </c>
      <c r="N1043" t="s">
        <v>1241</v>
      </c>
    </row>
    <row r="1044" spans="1:14">
      <c r="A1044" s="1" t="s">
        <v>3462</v>
      </c>
      <c r="B1044" s="1" t="s">
        <v>3463</v>
      </c>
      <c r="C1044" s="1" t="s">
        <v>1080</v>
      </c>
      <c r="D1044" s="1" t="s">
        <v>1081</v>
      </c>
      <c r="E1044" s="1" t="s">
        <v>1091</v>
      </c>
      <c r="F1044" s="1" t="s">
        <v>1083</v>
      </c>
      <c r="G1044" s="1" t="s">
        <v>1106</v>
      </c>
      <c r="H1044">
        <v>36</v>
      </c>
      <c r="I1044" t="s">
        <v>3464</v>
      </c>
      <c r="J1044">
        <v>116168</v>
      </c>
      <c r="K1044">
        <v>0</v>
      </c>
      <c r="L1044" s="1" t="s">
        <v>1085</v>
      </c>
      <c r="M1044" s="1" t="s">
        <v>1112</v>
      </c>
      <c r="N1044" t="s">
        <v>1241</v>
      </c>
    </row>
    <row r="1045" spans="1:14">
      <c r="A1045" s="1" t="s">
        <v>3465</v>
      </c>
      <c r="B1045" s="1" t="s">
        <v>3466</v>
      </c>
      <c r="C1045" s="1" t="s">
        <v>1152</v>
      </c>
      <c r="D1045" s="1" t="s">
        <v>1090</v>
      </c>
      <c r="E1045" s="1" t="s">
        <v>1098</v>
      </c>
      <c r="F1045" s="1" t="s">
        <v>1083</v>
      </c>
      <c r="G1045" s="1" t="s">
        <v>1084</v>
      </c>
      <c r="H1045">
        <v>27</v>
      </c>
      <c r="I1045">
        <v>44447</v>
      </c>
      <c r="J1045">
        <v>133267</v>
      </c>
      <c r="K1045">
        <v>0.12</v>
      </c>
      <c r="L1045" s="1" t="s">
        <v>1085</v>
      </c>
      <c r="M1045" s="1" t="s">
        <v>1116</v>
      </c>
      <c r="N1045" t="s">
        <v>1241</v>
      </c>
    </row>
    <row r="1046" spans="1:14">
      <c r="A1046" s="1" t="s">
        <v>1830</v>
      </c>
      <c r="B1046" s="1" t="s">
        <v>1831</v>
      </c>
      <c r="C1046" s="1" t="s">
        <v>1528</v>
      </c>
      <c r="D1046" s="1" t="s">
        <v>1097</v>
      </c>
      <c r="E1046" s="1" t="s">
        <v>1121</v>
      </c>
      <c r="F1046" s="1" t="s">
        <v>1105</v>
      </c>
      <c r="G1046" s="1" t="s">
        <v>1106</v>
      </c>
      <c r="H1046">
        <v>53</v>
      </c>
      <c r="I1046" t="s">
        <v>1832</v>
      </c>
      <c r="J1046">
        <v>93053</v>
      </c>
      <c r="K1046">
        <v>0</v>
      </c>
      <c r="L1046" s="1" t="s">
        <v>1221</v>
      </c>
      <c r="M1046" s="1" t="s">
        <v>1298</v>
      </c>
      <c r="N1046" t="s">
        <v>1241</v>
      </c>
    </row>
    <row r="1047" spans="1:14">
      <c r="A1047" s="1" t="s">
        <v>1833</v>
      </c>
      <c r="B1047" s="1" t="s">
        <v>1834</v>
      </c>
      <c r="C1047" s="1" t="s">
        <v>1140</v>
      </c>
      <c r="D1047" s="1" t="s">
        <v>1097</v>
      </c>
      <c r="E1047" s="1" t="s">
        <v>1091</v>
      </c>
      <c r="F1047" s="1" t="s">
        <v>1105</v>
      </c>
      <c r="G1047" s="1" t="s">
        <v>1084</v>
      </c>
      <c r="H1047">
        <v>48</v>
      </c>
      <c r="I1047" t="s">
        <v>1835</v>
      </c>
      <c r="J1047">
        <v>50513</v>
      </c>
      <c r="K1047">
        <v>0</v>
      </c>
      <c r="L1047" s="1" t="s">
        <v>1085</v>
      </c>
      <c r="M1047" s="1" t="s">
        <v>1107</v>
      </c>
      <c r="N1047" t="s">
        <v>1836</v>
      </c>
    </row>
    <row r="1048" spans="1:14">
      <c r="A1048" s="1" t="s">
        <v>1837</v>
      </c>
      <c r="B1048" s="1" t="s">
        <v>1838</v>
      </c>
      <c r="C1048" s="1" t="s">
        <v>1591</v>
      </c>
      <c r="D1048" s="1" t="s">
        <v>1090</v>
      </c>
      <c r="E1048" s="1" t="s">
        <v>1091</v>
      </c>
      <c r="F1048" s="1" t="s">
        <v>1105</v>
      </c>
      <c r="G1048" s="1" t="s">
        <v>1106</v>
      </c>
      <c r="H1048">
        <v>43</v>
      </c>
      <c r="I1048">
        <v>42921</v>
      </c>
      <c r="J1048">
        <v>86533</v>
      </c>
      <c r="K1048">
        <v>0</v>
      </c>
      <c r="L1048" s="1" t="s">
        <v>1085</v>
      </c>
      <c r="M1048" s="1" t="s">
        <v>1086</v>
      </c>
      <c r="N1048" t="s">
        <v>1241</v>
      </c>
    </row>
    <row r="1049" spans="1:14">
      <c r="A1049" s="1" t="s">
        <v>1839</v>
      </c>
      <c r="B1049" s="1" t="s">
        <v>1840</v>
      </c>
      <c r="C1049" s="1" t="s">
        <v>1216</v>
      </c>
      <c r="D1049" s="1" t="s">
        <v>1081</v>
      </c>
      <c r="E1049" s="1" t="s">
        <v>1098</v>
      </c>
      <c r="F1049" s="1" t="s">
        <v>1105</v>
      </c>
      <c r="G1049" s="1" t="s">
        <v>1084</v>
      </c>
      <c r="H1049">
        <v>60</v>
      </c>
      <c r="I1049" t="s">
        <v>1841</v>
      </c>
      <c r="J1049">
        <v>72806</v>
      </c>
      <c r="K1049">
        <v>0</v>
      </c>
      <c r="L1049" s="1" t="s">
        <v>1100</v>
      </c>
      <c r="M1049" s="1" t="s">
        <v>1123</v>
      </c>
      <c r="N1049" t="s">
        <v>1241</v>
      </c>
    </row>
    <row r="1050" spans="1:14">
      <c r="A1050" s="1" t="s">
        <v>1842</v>
      </c>
      <c r="B1050" s="1" t="s">
        <v>1843</v>
      </c>
      <c r="C1050" s="1" t="s">
        <v>1160</v>
      </c>
      <c r="D1050" s="1" t="s">
        <v>1090</v>
      </c>
      <c r="E1050" s="1" t="s">
        <v>1121</v>
      </c>
      <c r="F1050" s="1" t="s">
        <v>1105</v>
      </c>
      <c r="G1050" s="1" t="s">
        <v>1153</v>
      </c>
      <c r="H1050">
        <v>42</v>
      </c>
      <c r="I1050">
        <v>43801</v>
      </c>
      <c r="J1050">
        <v>258115</v>
      </c>
      <c r="K1050">
        <v>0.36</v>
      </c>
      <c r="L1050" s="1" t="s">
        <v>1085</v>
      </c>
      <c r="M1050" s="1" t="s">
        <v>1112</v>
      </c>
      <c r="N1050" t="s">
        <v>1241</v>
      </c>
    </row>
    <row r="1051" spans="1:14">
      <c r="A1051" s="1" t="s">
        <v>1844</v>
      </c>
      <c r="B1051" s="1" t="s">
        <v>1845</v>
      </c>
      <c r="C1051" s="1" t="s">
        <v>1275</v>
      </c>
      <c r="D1051" s="1" t="s">
        <v>1097</v>
      </c>
      <c r="E1051" s="1" t="s">
        <v>1082</v>
      </c>
      <c r="F1051" s="1" t="s">
        <v>1083</v>
      </c>
      <c r="G1051" s="1" t="s">
        <v>1106</v>
      </c>
      <c r="H1051">
        <v>52</v>
      </c>
      <c r="I1051">
        <v>39452</v>
      </c>
      <c r="J1051">
        <v>63444</v>
      </c>
      <c r="K1051">
        <v>0</v>
      </c>
      <c r="L1051" s="1" t="s">
        <v>1085</v>
      </c>
      <c r="M1051" s="1" t="s">
        <v>1137</v>
      </c>
      <c r="N1051" t="s">
        <v>1241</v>
      </c>
    </row>
    <row r="1052" spans="1:14">
      <c r="A1052" s="1" t="s">
        <v>1846</v>
      </c>
      <c r="B1052" s="1" t="s">
        <v>1847</v>
      </c>
      <c r="C1052" s="1" t="s">
        <v>1412</v>
      </c>
      <c r="D1052" s="1" t="s">
        <v>1081</v>
      </c>
      <c r="E1052" s="1" t="s">
        <v>1121</v>
      </c>
      <c r="F1052" s="1" t="s">
        <v>1083</v>
      </c>
      <c r="G1052" s="1" t="s">
        <v>1133</v>
      </c>
      <c r="H1052">
        <v>50</v>
      </c>
      <c r="I1052" t="s">
        <v>1848</v>
      </c>
      <c r="J1052">
        <v>96099</v>
      </c>
      <c r="K1052">
        <v>0.11</v>
      </c>
      <c r="L1052" s="1" t="s">
        <v>1085</v>
      </c>
      <c r="M1052" s="1" t="s">
        <v>1093</v>
      </c>
      <c r="N1052" t="s">
        <v>1241</v>
      </c>
    </row>
    <row r="1053" spans="1:14">
      <c r="A1053" s="1" t="s">
        <v>1849</v>
      </c>
      <c r="B1053" s="1" t="s">
        <v>1850</v>
      </c>
      <c r="C1053" s="1" t="s">
        <v>1104</v>
      </c>
      <c r="D1053" s="1" t="s">
        <v>1097</v>
      </c>
      <c r="E1053" s="1" t="s">
        <v>1082</v>
      </c>
      <c r="F1053" s="1" t="s">
        <v>1105</v>
      </c>
      <c r="G1053" s="1" t="s">
        <v>1106</v>
      </c>
      <c r="H1053">
        <v>37</v>
      </c>
      <c r="I1053">
        <v>39816</v>
      </c>
      <c r="J1053">
        <v>92849</v>
      </c>
      <c r="K1053">
        <v>0</v>
      </c>
      <c r="L1053" s="1" t="s">
        <v>1085</v>
      </c>
      <c r="M1053" s="1" t="s">
        <v>1093</v>
      </c>
      <c r="N1053" t="s">
        <v>1241</v>
      </c>
    </row>
    <row r="1054" spans="1:14">
      <c r="A1054" s="1" t="s">
        <v>1851</v>
      </c>
      <c r="B1054" s="1" t="s">
        <v>1852</v>
      </c>
      <c r="C1054" s="1" t="s">
        <v>1591</v>
      </c>
      <c r="D1054" s="1" t="s">
        <v>1090</v>
      </c>
      <c r="E1054" s="1" t="s">
        <v>1082</v>
      </c>
      <c r="F1054" s="1" t="s">
        <v>1083</v>
      </c>
      <c r="G1054" s="1" t="s">
        <v>1084</v>
      </c>
      <c r="H1054">
        <v>58</v>
      </c>
      <c r="I1054" t="s">
        <v>1853</v>
      </c>
      <c r="J1054">
        <v>85094</v>
      </c>
      <c r="K1054">
        <v>0</v>
      </c>
      <c r="L1054" s="1" t="s">
        <v>1100</v>
      </c>
      <c r="M1054" s="1" t="s">
        <v>1129</v>
      </c>
      <c r="N1054" t="s">
        <v>1241</v>
      </c>
    </row>
    <row r="1055" spans="1:14">
      <c r="A1055" s="1" t="s">
        <v>1854</v>
      </c>
      <c r="B1055" s="1" t="s">
        <v>1855</v>
      </c>
      <c r="C1055" s="1" t="s">
        <v>1152</v>
      </c>
      <c r="D1055" s="1" t="s">
        <v>1148</v>
      </c>
      <c r="E1055" s="1" t="s">
        <v>1091</v>
      </c>
      <c r="F1055" s="1" t="s">
        <v>1105</v>
      </c>
      <c r="G1055" s="1" t="s">
        <v>1106</v>
      </c>
      <c r="H1055">
        <v>39</v>
      </c>
      <c r="I1055" t="s">
        <v>1856</v>
      </c>
      <c r="J1055">
        <v>156224</v>
      </c>
      <c r="K1055">
        <v>0.14000000000000001</v>
      </c>
      <c r="L1055" s="1" t="s">
        <v>1221</v>
      </c>
      <c r="M1055" s="1" t="s">
        <v>1443</v>
      </c>
      <c r="N1055" t="s">
        <v>1241</v>
      </c>
    </row>
    <row r="1056" spans="1:14">
      <c r="A1056" s="1" t="s">
        <v>1857</v>
      </c>
      <c r="B1056" s="1" t="s">
        <v>1858</v>
      </c>
      <c r="C1056" s="1" t="s">
        <v>1160</v>
      </c>
      <c r="D1056" s="1" t="s">
        <v>1120</v>
      </c>
      <c r="E1056" s="1" t="s">
        <v>1091</v>
      </c>
      <c r="F1056" s="1" t="s">
        <v>1083</v>
      </c>
      <c r="G1056" s="1" t="s">
        <v>1084</v>
      </c>
      <c r="H1056">
        <v>50</v>
      </c>
      <c r="I1056" t="s">
        <v>1859</v>
      </c>
      <c r="K1056">
        <v>0.36</v>
      </c>
      <c r="L1056" s="1" t="s">
        <v>1085</v>
      </c>
      <c r="M1056" s="1" t="s">
        <v>1086</v>
      </c>
      <c r="N1056" t="s">
        <v>1860</v>
      </c>
    </row>
    <row r="1057" spans="1:14">
      <c r="A1057" s="1" t="s">
        <v>1861</v>
      </c>
      <c r="B1057" s="1" t="s">
        <v>1156</v>
      </c>
      <c r="C1057" s="1" t="s">
        <v>1126</v>
      </c>
      <c r="D1057" s="1" t="s">
        <v>1148</v>
      </c>
      <c r="E1057" s="1" t="s">
        <v>1098</v>
      </c>
      <c r="F1057" s="1" t="s">
        <v>1105</v>
      </c>
      <c r="G1057" s="1" t="s">
        <v>1084</v>
      </c>
      <c r="H1057">
        <v>51</v>
      </c>
      <c r="I1057">
        <v>39236</v>
      </c>
      <c r="J1057">
        <v>50214</v>
      </c>
      <c r="K1057">
        <v>0</v>
      </c>
      <c r="L1057" s="1" t="s">
        <v>1100</v>
      </c>
      <c r="M1057" s="1" t="s">
        <v>1188</v>
      </c>
      <c r="N1057" t="s">
        <v>1241</v>
      </c>
    </row>
    <row r="1058" spans="1:14">
      <c r="A1058" s="1" t="s">
        <v>1862</v>
      </c>
      <c r="B1058" s="1" t="s">
        <v>1863</v>
      </c>
      <c r="C1058" s="1" t="s">
        <v>1119</v>
      </c>
      <c r="D1058" s="1" t="s">
        <v>1148</v>
      </c>
      <c r="E1058" s="1" t="s">
        <v>1121</v>
      </c>
      <c r="F1058" s="1" t="s">
        <v>1083</v>
      </c>
      <c r="G1058" s="1" t="s">
        <v>1084</v>
      </c>
      <c r="H1058">
        <v>31</v>
      </c>
      <c r="I1058">
        <v>42309</v>
      </c>
      <c r="J1058">
        <v>79713</v>
      </c>
      <c r="K1058">
        <v>0</v>
      </c>
      <c r="L1058" s="1" t="s">
        <v>1100</v>
      </c>
      <c r="M1058" s="1" t="s">
        <v>1188</v>
      </c>
      <c r="N1058" t="s">
        <v>1241</v>
      </c>
    </row>
    <row r="1059" spans="1:14">
      <c r="A1059" s="1" t="s">
        <v>1864</v>
      </c>
      <c r="B1059" s="1" t="s">
        <v>1865</v>
      </c>
      <c r="C1059" s="1" t="s">
        <v>1110</v>
      </c>
      <c r="D1059" s="1" t="s">
        <v>1097</v>
      </c>
      <c r="E1059" s="1" t="s">
        <v>1098</v>
      </c>
      <c r="F1059" s="1" t="s">
        <v>1105</v>
      </c>
      <c r="G1059" s="1" t="s">
        <v>1106</v>
      </c>
      <c r="H1059">
        <v>52</v>
      </c>
      <c r="I1059">
        <v>36411</v>
      </c>
      <c r="J1059">
        <v>166699</v>
      </c>
      <c r="K1059">
        <v>0.27</v>
      </c>
      <c r="L1059" s="1" t="s">
        <v>1221</v>
      </c>
      <c r="M1059" s="1" t="s">
        <v>1298</v>
      </c>
      <c r="N1059" t="s">
        <v>1241</v>
      </c>
    </row>
    <row r="1060" spans="1:14">
      <c r="A1060" s="1" t="s">
        <v>1663</v>
      </c>
      <c r="B1060" s="1" t="s">
        <v>1664</v>
      </c>
      <c r="C1060" s="1" t="s">
        <v>1119</v>
      </c>
      <c r="D1060" s="1" t="s">
        <v>1127</v>
      </c>
      <c r="E1060" s="1" t="s">
        <v>1091</v>
      </c>
      <c r="F1060" s="1" t="s">
        <v>1083</v>
      </c>
      <c r="G1060" s="1" t="s">
        <v>1084</v>
      </c>
      <c r="H1060">
        <v>42</v>
      </c>
      <c r="I1060" t="s">
        <v>1665</v>
      </c>
      <c r="J1060">
        <v>91689</v>
      </c>
      <c r="K1060">
        <v>0</v>
      </c>
      <c r="L1060" s="1" t="s">
        <v>1100</v>
      </c>
      <c r="M1060" s="1" t="s">
        <v>1123</v>
      </c>
      <c r="N1060" t="s">
        <v>1241</v>
      </c>
    </row>
    <row r="1061" spans="1:14">
      <c r="A1061" s="1" t="s">
        <v>1666</v>
      </c>
      <c r="B1061" s="1" t="s">
        <v>1667</v>
      </c>
      <c r="C1061" s="1" t="s">
        <v>1152</v>
      </c>
      <c r="D1061" s="1" t="s">
        <v>1127</v>
      </c>
      <c r="E1061" s="1" t="s">
        <v>1091</v>
      </c>
      <c r="F1061" s="1" t="s">
        <v>1083</v>
      </c>
      <c r="G1061" s="1" t="s">
        <v>1084</v>
      </c>
      <c r="H1061">
        <v>49</v>
      </c>
      <c r="I1061" t="s">
        <v>1668</v>
      </c>
      <c r="J1061">
        <v>158028</v>
      </c>
      <c r="K1061">
        <v>0.12</v>
      </c>
      <c r="L1061" s="1" t="s">
        <v>1100</v>
      </c>
      <c r="M1061" s="1" t="s">
        <v>1129</v>
      </c>
      <c r="N1061" t="s">
        <v>1241</v>
      </c>
    </row>
    <row r="1062" spans="1:14">
      <c r="A1062" s="1" t="s">
        <v>1669</v>
      </c>
      <c r="B1062" s="1" t="s">
        <v>1670</v>
      </c>
      <c r="C1062" s="1" t="s">
        <v>1591</v>
      </c>
      <c r="D1062" s="1" t="s">
        <v>1090</v>
      </c>
      <c r="E1062" s="1" t="s">
        <v>1091</v>
      </c>
      <c r="F1062" s="1" t="s">
        <v>1083</v>
      </c>
      <c r="G1062" s="1" t="s">
        <v>1084</v>
      </c>
      <c r="H1062">
        <v>33</v>
      </c>
      <c r="I1062" t="s">
        <v>1671</v>
      </c>
      <c r="J1062">
        <v>89759</v>
      </c>
      <c r="K1062">
        <v>0</v>
      </c>
      <c r="L1062" s="1" t="s">
        <v>1100</v>
      </c>
      <c r="M1062" s="1" t="s">
        <v>1123</v>
      </c>
      <c r="N1062" t="s">
        <v>1241</v>
      </c>
    </row>
    <row r="1063" spans="1:14">
      <c r="A1063" s="1" t="s">
        <v>1672</v>
      </c>
      <c r="B1063" s="1" t="s">
        <v>1673</v>
      </c>
      <c r="C1063" s="1" t="s">
        <v>1173</v>
      </c>
      <c r="D1063" s="1" t="s">
        <v>1097</v>
      </c>
      <c r="E1063" s="1" t="s">
        <v>1098</v>
      </c>
      <c r="F1063" s="1" t="s">
        <v>1105</v>
      </c>
      <c r="G1063" s="1" t="s">
        <v>1084</v>
      </c>
      <c r="H1063">
        <v>39</v>
      </c>
      <c r="I1063" t="s">
        <v>1674</v>
      </c>
      <c r="J1063">
        <v>78640</v>
      </c>
      <c r="K1063">
        <v>0</v>
      </c>
      <c r="L1063" s="1" t="s">
        <v>1100</v>
      </c>
      <c r="M1063" s="1" t="s">
        <v>1123</v>
      </c>
      <c r="N1063" t="s">
        <v>1241</v>
      </c>
    </row>
    <row r="1064" spans="1:14">
      <c r="A1064" s="1" t="s">
        <v>1675</v>
      </c>
      <c r="B1064" s="1" t="s">
        <v>1676</v>
      </c>
      <c r="C1064" s="1" t="s">
        <v>1089</v>
      </c>
      <c r="D1064" s="1" t="s">
        <v>1127</v>
      </c>
      <c r="E1064" s="1" t="s">
        <v>1121</v>
      </c>
      <c r="F1064" s="1" t="s">
        <v>1105</v>
      </c>
      <c r="G1064" s="1" t="s">
        <v>1084</v>
      </c>
      <c r="H1064">
        <v>51</v>
      </c>
      <c r="I1064">
        <v>38657</v>
      </c>
      <c r="J1064">
        <v>55368</v>
      </c>
      <c r="K1064">
        <v>0</v>
      </c>
      <c r="L1064" s="1" t="s">
        <v>1085</v>
      </c>
      <c r="M1064" s="1" t="s">
        <v>1093</v>
      </c>
      <c r="N1064" t="s">
        <v>1241</v>
      </c>
    </row>
    <row r="1065" spans="1:14">
      <c r="A1065" s="1" t="s">
        <v>1677</v>
      </c>
      <c r="B1065" s="1" t="s">
        <v>1678</v>
      </c>
      <c r="C1065" s="1" t="s">
        <v>1096</v>
      </c>
      <c r="D1065" s="1" t="s">
        <v>1097</v>
      </c>
      <c r="E1065" s="1" t="s">
        <v>1121</v>
      </c>
      <c r="F1065" s="1" t="s">
        <v>1105</v>
      </c>
      <c r="G1065" s="1" t="s">
        <v>1133</v>
      </c>
      <c r="H1065">
        <v>49</v>
      </c>
      <c r="I1065" t="s">
        <v>1679</v>
      </c>
      <c r="J1065">
        <v>78164</v>
      </c>
      <c r="K1065">
        <v>0</v>
      </c>
      <c r="L1065" s="1" t="s">
        <v>1085</v>
      </c>
      <c r="M1065" s="1" t="s">
        <v>1107</v>
      </c>
      <c r="N1065" t="s">
        <v>1241</v>
      </c>
    </row>
    <row r="1066" spans="1:14">
      <c r="A1066" s="1" t="s">
        <v>1680</v>
      </c>
      <c r="B1066" s="1" t="s">
        <v>1681</v>
      </c>
      <c r="C1066" s="1" t="s">
        <v>1119</v>
      </c>
      <c r="D1066" s="1" t="s">
        <v>1148</v>
      </c>
      <c r="E1066" s="1" t="s">
        <v>1098</v>
      </c>
      <c r="F1066" s="1" t="s">
        <v>1083</v>
      </c>
      <c r="G1066" s="1" t="s">
        <v>1084</v>
      </c>
      <c r="H1066">
        <v>30</v>
      </c>
      <c r="I1066" t="s">
        <v>1682</v>
      </c>
      <c r="J1066">
        <v>76014</v>
      </c>
      <c r="K1066">
        <v>0</v>
      </c>
      <c r="L1066" s="1" t="s">
        <v>1100</v>
      </c>
      <c r="M1066" s="1" t="s">
        <v>1129</v>
      </c>
      <c r="N1066" t="s">
        <v>1241</v>
      </c>
    </row>
    <row r="1067" spans="1:14">
      <c r="A1067" s="1" t="s">
        <v>1683</v>
      </c>
      <c r="B1067" s="1" t="s">
        <v>1684</v>
      </c>
      <c r="C1067" s="1" t="s">
        <v>1177</v>
      </c>
      <c r="D1067" s="1" t="s">
        <v>1090</v>
      </c>
      <c r="E1067" s="1" t="s">
        <v>1082</v>
      </c>
      <c r="F1067" s="1" t="s">
        <v>1105</v>
      </c>
      <c r="G1067" s="1" t="s">
        <v>1106</v>
      </c>
      <c r="H1067">
        <v>41</v>
      </c>
      <c r="I1067" t="s">
        <v>1685</v>
      </c>
      <c r="J1067">
        <v>61403</v>
      </c>
      <c r="K1067">
        <v>0</v>
      </c>
      <c r="L1067" s="1" t="s">
        <v>1085</v>
      </c>
      <c r="M1067" s="1" t="s">
        <v>1137</v>
      </c>
      <c r="N1067" t="s">
        <v>1241</v>
      </c>
    </row>
    <row r="1068" spans="1:14">
      <c r="A1068" s="1" t="s">
        <v>1686</v>
      </c>
      <c r="B1068" s="1" t="s">
        <v>1687</v>
      </c>
      <c r="C1068" s="1" t="s">
        <v>1173</v>
      </c>
      <c r="D1068" s="1" t="s">
        <v>1097</v>
      </c>
      <c r="E1068" s="1" t="s">
        <v>1098</v>
      </c>
      <c r="F1068" s="1" t="s">
        <v>1083</v>
      </c>
      <c r="G1068" s="1" t="s">
        <v>1153</v>
      </c>
      <c r="H1068">
        <v>58</v>
      </c>
      <c r="I1068" t="s">
        <v>1688</v>
      </c>
      <c r="J1068">
        <v>80720</v>
      </c>
      <c r="K1068">
        <v>0</v>
      </c>
      <c r="L1068" s="1" t="s">
        <v>1085</v>
      </c>
      <c r="M1068" s="1" t="s">
        <v>1086</v>
      </c>
      <c r="N1068" t="s">
        <v>1241</v>
      </c>
    </row>
    <row r="1069" spans="1:14">
      <c r="A1069" s="1" t="s">
        <v>2667</v>
      </c>
      <c r="B1069" s="1" t="s">
        <v>2668</v>
      </c>
      <c r="C1069" s="1" t="s">
        <v>1126</v>
      </c>
      <c r="D1069" s="1" t="s">
        <v>1090</v>
      </c>
      <c r="E1069" s="1" t="s">
        <v>1082</v>
      </c>
      <c r="F1069" s="1" t="s">
        <v>1083</v>
      </c>
      <c r="G1069" s="1" t="s">
        <v>1106</v>
      </c>
      <c r="H1069">
        <v>38</v>
      </c>
      <c r="I1069">
        <v>44298</v>
      </c>
      <c r="J1069">
        <v>68281</v>
      </c>
      <c r="K1069">
        <v>0</v>
      </c>
      <c r="L1069" s="1" t="s">
        <v>1085</v>
      </c>
      <c r="M1069" s="1" t="s">
        <v>1137</v>
      </c>
      <c r="N1069">
        <v>44807</v>
      </c>
    </row>
    <row r="1070" spans="1:14">
      <c r="A1070" s="1" t="s">
        <v>2669</v>
      </c>
      <c r="B1070" s="1" t="s">
        <v>2670</v>
      </c>
      <c r="C1070" s="1" t="s">
        <v>1275</v>
      </c>
      <c r="D1070" s="1" t="s">
        <v>1097</v>
      </c>
      <c r="E1070" s="1" t="s">
        <v>1091</v>
      </c>
      <c r="F1070" s="1" t="s">
        <v>1105</v>
      </c>
      <c r="G1070" s="1" t="s">
        <v>1133</v>
      </c>
      <c r="H1070">
        <v>60</v>
      </c>
      <c r="I1070">
        <v>34251</v>
      </c>
      <c r="J1070">
        <v>63979</v>
      </c>
      <c r="K1070">
        <v>0</v>
      </c>
      <c r="L1070" s="1" t="s">
        <v>1085</v>
      </c>
      <c r="M1070" s="1" t="s">
        <v>1137</v>
      </c>
      <c r="N1070" t="s">
        <v>1241</v>
      </c>
    </row>
    <row r="1071" spans="1:14">
      <c r="A1071" s="1" t="s">
        <v>2671</v>
      </c>
      <c r="B1071" s="1" t="s">
        <v>2672</v>
      </c>
      <c r="C1071" s="1" t="s">
        <v>1213</v>
      </c>
      <c r="D1071" s="1" t="s">
        <v>1208</v>
      </c>
      <c r="E1071" s="1" t="s">
        <v>1091</v>
      </c>
      <c r="F1071" s="1" t="s">
        <v>1083</v>
      </c>
      <c r="G1071" s="1" t="s">
        <v>1084</v>
      </c>
      <c r="H1071">
        <v>29</v>
      </c>
      <c r="I1071" t="s">
        <v>2561</v>
      </c>
      <c r="J1071">
        <v>53090</v>
      </c>
      <c r="K1071">
        <v>0</v>
      </c>
      <c r="L1071" s="1" t="s">
        <v>1085</v>
      </c>
      <c r="M1071" s="1" t="s">
        <v>1137</v>
      </c>
      <c r="N1071" t="s">
        <v>1241</v>
      </c>
    </row>
    <row r="1072" spans="1:14">
      <c r="A1072" s="1" t="s">
        <v>2673</v>
      </c>
      <c r="B1072" s="1" t="s">
        <v>2674</v>
      </c>
      <c r="C1072" s="1" t="s">
        <v>1136</v>
      </c>
      <c r="D1072" s="1" t="s">
        <v>1090</v>
      </c>
      <c r="E1072" s="1" t="s">
        <v>1121</v>
      </c>
      <c r="F1072" s="1" t="s">
        <v>1083</v>
      </c>
      <c r="G1072" s="1" t="s">
        <v>1106</v>
      </c>
      <c r="H1072">
        <v>49</v>
      </c>
      <c r="I1072" t="s">
        <v>2675</v>
      </c>
      <c r="J1072">
        <v>108325</v>
      </c>
      <c r="K1072">
        <v>0.1</v>
      </c>
      <c r="L1072" s="1" t="s">
        <v>1221</v>
      </c>
      <c r="M1072" s="1" t="s">
        <v>1443</v>
      </c>
      <c r="N1072" t="s">
        <v>1241</v>
      </c>
    </row>
    <row r="1073" spans="1:14">
      <c r="A1073" s="1" t="s">
        <v>2676</v>
      </c>
      <c r="B1073" s="1" t="s">
        <v>2677</v>
      </c>
      <c r="C1073" s="1" t="s">
        <v>1119</v>
      </c>
      <c r="D1073" s="1" t="s">
        <v>1148</v>
      </c>
      <c r="E1073" s="1" t="s">
        <v>1091</v>
      </c>
      <c r="F1073" s="1" t="s">
        <v>1083</v>
      </c>
      <c r="G1073" s="1" t="s">
        <v>1153</v>
      </c>
      <c r="H1073">
        <v>45</v>
      </c>
      <c r="I1073">
        <v>43282</v>
      </c>
      <c r="J1073">
        <v>98289</v>
      </c>
      <c r="K1073">
        <v>0</v>
      </c>
      <c r="L1073" s="1" t="s">
        <v>1085</v>
      </c>
      <c r="M1073" s="1" t="s">
        <v>1086</v>
      </c>
      <c r="N1073" t="s">
        <v>1241</v>
      </c>
    </row>
    <row r="1074" spans="1:14">
      <c r="A1074" s="1" t="s">
        <v>2678</v>
      </c>
      <c r="B1074" s="1" t="s">
        <v>2679</v>
      </c>
      <c r="C1074" s="1" t="s">
        <v>1269</v>
      </c>
      <c r="D1074" s="1" t="s">
        <v>1097</v>
      </c>
      <c r="E1074" s="1" t="s">
        <v>1121</v>
      </c>
      <c r="F1074" s="1" t="s">
        <v>1083</v>
      </c>
      <c r="G1074" s="1" t="s">
        <v>1133</v>
      </c>
      <c r="H1074">
        <v>44</v>
      </c>
      <c r="I1074" t="s">
        <v>2680</v>
      </c>
      <c r="J1074">
        <v>41275</v>
      </c>
      <c r="K1074">
        <v>0</v>
      </c>
      <c r="L1074" s="1" t="s">
        <v>1085</v>
      </c>
      <c r="M1074" s="1" t="s">
        <v>1112</v>
      </c>
      <c r="N1074" t="s">
        <v>2681</v>
      </c>
    </row>
    <row r="1075" spans="1:14">
      <c r="A1075" s="1" t="s">
        <v>2682</v>
      </c>
      <c r="B1075" s="1" t="s">
        <v>2683</v>
      </c>
      <c r="C1075" s="1" t="s">
        <v>1119</v>
      </c>
      <c r="D1075" s="1" t="s">
        <v>1127</v>
      </c>
      <c r="E1075" s="1" t="s">
        <v>1121</v>
      </c>
      <c r="F1075" s="1" t="s">
        <v>1083</v>
      </c>
      <c r="G1075" s="1" t="s">
        <v>1133</v>
      </c>
      <c r="H1075">
        <v>46</v>
      </c>
      <c r="I1075">
        <v>41062</v>
      </c>
      <c r="J1075">
        <v>93642</v>
      </c>
      <c r="K1075">
        <v>0</v>
      </c>
      <c r="L1075" s="1" t="s">
        <v>1085</v>
      </c>
      <c r="M1075" s="1" t="s">
        <v>1086</v>
      </c>
      <c r="N1075" t="s">
        <v>1241</v>
      </c>
    </row>
    <row r="1076" spans="1:14">
      <c r="A1076" s="1" t="s">
        <v>2684</v>
      </c>
      <c r="B1076" s="1" t="s">
        <v>2685</v>
      </c>
      <c r="C1076" s="1" t="s">
        <v>1110</v>
      </c>
      <c r="D1076" s="1" t="s">
        <v>1208</v>
      </c>
      <c r="E1076" s="1" t="s">
        <v>1098</v>
      </c>
      <c r="F1076" s="1" t="s">
        <v>1083</v>
      </c>
      <c r="G1076" s="1" t="s">
        <v>1084</v>
      </c>
      <c r="H1076">
        <v>36</v>
      </c>
      <c r="I1076" t="s">
        <v>2686</v>
      </c>
      <c r="J1076">
        <v>162957</v>
      </c>
      <c r="K1076">
        <v>0.18</v>
      </c>
      <c r="L1076" s="1" t="s">
        <v>1100</v>
      </c>
      <c r="M1076" s="1" t="s">
        <v>1123</v>
      </c>
      <c r="N1076" t="s">
        <v>1241</v>
      </c>
    </row>
    <row r="1077" spans="1:14">
      <c r="A1077" s="1" t="s">
        <v>2687</v>
      </c>
      <c r="B1077" s="1" t="s">
        <v>2688</v>
      </c>
      <c r="C1077" s="1" t="s">
        <v>1119</v>
      </c>
      <c r="D1077" s="1" t="s">
        <v>1120</v>
      </c>
      <c r="E1077" s="1" t="s">
        <v>1082</v>
      </c>
      <c r="F1077" s="1" t="s">
        <v>1083</v>
      </c>
      <c r="G1077" s="1" t="s">
        <v>1106</v>
      </c>
      <c r="H1077">
        <v>45</v>
      </c>
      <c r="I1077">
        <v>44838</v>
      </c>
      <c r="J1077">
        <v>96029</v>
      </c>
      <c r="K1077">
        <v>0</v>
      </c>
      <c r="L1077" s="1" t="s">
        <v>1221</v>
      </c>
      <c r="M1077" s="1" t="s">
        <v>1222</v>
      </c>
      <c r="N1077" t="s">
        <v>1241</v>
      </c>
    </row>
    <row r="1078" spans="1:14">
      <c r="A1078" s="1" t="s">
        <v>2689</v>
      </c>
      <c r="B1078" s="1" t="s">
        <v>2690</v>
      </c>
      <c r="C1078" s="1" t="s">
        <v>1160</v>
      </c>
      <c r="D1078" s="1" t="s">
        <v>1208</v>
      </c>
      <c r="E1078" s="1" t="s">
        <v>1098</v>
      </c>
      <c r="F1078" s="1" t="s">
        <v>1083</v>
      </c>
      <c r="G1078" s="1" t="s">
        <v>1106</v>
      </c>
      <c r="H1078">
        <v>55</v>
      </c>
      <c r="I1078">
        <v>36163</v>
      </c>
      <c r="J1078">
        <v>227148</v>
      </c>
      <c r="K1078">
        <v>0.33</v>
      </c>
      <c r="L1078" s="1" t="s">
        <v>1221</v>
      </c>
      <c r="M1078" s="1" t="s">
        <v>1298</v>
      </c>
      <c r="N1078" t="s">
        <v>1241</v>
      </c>
    </row>
    <row r="1079" spans="1:14">
      <c r="A1079" s="1" t="s">
        <v>2471</v>
      </c>
      <c r="B1079" s="1" t="s">
        <v>2472</v>
      </c>
      <c r="C1079" s="1" t="s">
        <v>1110</v>
      </c>
      <c r="D1079" s="1" t="s">
        <v>1090</v>
      </c>
      <c r="E1079" s="1" t="s">
        <v>1098</v>
      </c>
      <c r="F1079" s="1" t="s">
        <v>1105</v>
      </c>
      <c r="G1079" s="1" t="s">
        <v>1106</v>
      </c>
      <c r="H1079">
        <v>61</v>
      </c>
      <c r="I1079" t="s">
        <v>2243</v>
      </c>
      <c r="J1079">
        <v>195636</v>
      </c>
      <c r="K1079">
        <v>0.21</v>
      </c>
      <c r="L1079" s="1" t="s">
        <v>1221</v>
      </c>
      <c r="M1079" s="1" t="s">
        <v>1222</v>
      </c>
      <c r="N1079" t="s">
        <v>1241</v>
      </c>
    </row>
    <row r="1080" spans="1:14">
      <c r="A1080" s="1" t="s">
        <v>2473</v>
      </c>
      <c r="B1080" s="1" t="s">
        <v>2474</v>
      </c>
      <c r="C1080" s="1" t="s">
        <v>1285</v>
      </c>
      <c r="D1080" s="1" t="s">
        <v>1097</v>
      </c>
      <c r="E1080" s="1" t="s">
        <v>1121</v>
      </c>
      <c r="F1080" s="1" t="s">
        <v>1083</v>
      </c>
      <c r="G1080" s="1" t="s">
        <v>1133</v>
      </c>
      <c r="H1080">
        <v>53</v>
      </c>
      <c r="I1080">
        <v>35433</v>
      </c>
      <c r="J1080">
        <v>63165</v>
      </c>
      <c r="K1080">
        <v>0</v>
      </c>
      <c r="L1080" s="1" t="s">
        <v>1085</v>
      </c>
      <c r="M1080" s="1" t="s">
        <v>1107</v>
      </c>
      <c r="N1080" t="s">
        <v>1241</v>
      </c>
    </row>
    <row r="1081" spans="1:14">
      <c r="A1081" s="1" t="s">
        <v>2475</v>
      </c>
      <c r="B1081" s="1" t="s">
        <v>2476</v>
      </c>
      <c r="C1081" s="1" t="s">
        <v>1089</v>
      </c>
      <c r="D1081" s="1" t="s">
        <v>1090</v>
      </c>
      <c r="E1081" s="1" t="s">
        <v>1098</v>
      </c>
      <c r="F1081" s="1" t="s">
        <v>1105</v>
      </c>
      <c r="G1081" s="1" t="s">
        <v>1084</v>
      </c>
      <c r="H1081">
        <v>51</v>
      </c>
      <c r="I1081" t="s">
        <v>2477</v>
      </c>
      <c r="K1081">
        <v>0</v>
      </c>
      <c r="L1081" s="1" t="s">
        <v>1100</v>
      </c>
      <c r="M1081" s="1" t="s">
        <v>1101</v>
      </c>
      <c r="N1081" t="s">
        <v>1241</v>
      </c>
    </row>
    <row r="1082" spans="1:14">
      <c r="A1082" s="1" t="s">
        <v>2478</v>
      </c>
      <c r="B1082" s="1" t="s">
        <v>2479</v>
      </c>
      <c r="C1082" s="1" t="s">
        <v>1089</v>
      </c>
      <c r="D1082" s="1" t="s">
        <v>1127</v>
      </c>
      <c r="E1082" s="1" t="s">
        <v>1121</v>
      </c>
      <c r="F1082" s="1" t="s">
        <v>1105</v>
      </c>
      <c r="G1082" s="1" t="s">
        <v>1106</v>
      </c>
      <c r="H1082">
        <v>56</v>
      </c>
      <c r="I1082" t="s">
        <v>2480</v>
      </c>
      <c r="K1082">
        <v>0</v>
      </c>
      <c r="L1082" s="1" t="s">
        <v>1221</v>
      </c>
      <c r="M1082" s="1" t="s">
        <v>1222</v>
      </c>
      <c r="N1082" t="s">
        <v>1241</v>
      </c>
    </row>
    <row r="1083" spans="1:14">
      <c r="A1083" s="1" t="s">
        <v>2481</v>
      </c>
      <c r="B1083" s="1" t="s">
        <v>2482</v>
      </c>
      <c r="C1083" s="1" t="s">
        <v>1110</v>
      </c>
      <c r="D1083" s="1" t="s">
        <v>1097</v>
      </c>
      <c r="E1083" s="1" t="s">
        <v>1098</v>
      </c>
      <c r="F1083" s="1" t="s">
        <v>1083</v>
      </c>
      <c r="G1083" s="1" t="s">
        <v>1106</v>
      </c>
      <c r="H1083">
        <v>38</v>
      </c>
      <c r="I1083">
        <v>43353</v>
      </c>
      <c r="K1083">
        <v>0.3</v>
      </c>
      <c r="L1083" s="1" t="s">
        <v>1085</v>
      </c>
      <c r="M1083" s="1" t="s">
        <v>1093</v>
      </c>
      <c r="N1083" t="s">
        <v>1241</v>
      </c>
    </row>
    <row r="1084" spans="1:14">
      <c r="A1084" s="1" t="s">
        <v>2483</v>
      </c>
      <c r="B1084" s="1" t="s">
        <v>2484</v>
      </c>
      <c r="C1084" s="1" t="s">
        <v>1136</v>
      </c>
      <c r="D1084" s="1" t="s">
        <v>1097</v>
      </c>
      <c r="E1084" s="1" t="s">
        <v>1091</v>
      </c>
      <c r="F1084" s="1" t="s">
        <v>1105</v>
      </c>
      <c r="G1084" s="1" t="s">
        <v>1133</v>
      </c>
      <c r="H1084">
        <v>41</v>
      </c>
      <c r="I1084">
        <v>39786</v>
      </c>
      <c r="K1084">
        <v>0.05</v>
      </c>
      <c r="L1084" s="1" t="s">
        <v>1085</v>
      </c>
      <c r="M1084" s="1" t="s">
        <v>1137</v>
      </c>
      <c r="N1084" t="s">
        <v>1241</v>
      </c>
    </row>
    <row r="1085" spans="1:14">
      <c r="A1085" s="1" t="s">
        <v>2485</v>
      </c>
      <c r="B1085" s="1" t="s">
        <v>2486</v>
      </c>
      <c r="C1085" s="1" t="s">
        <v>1119</v>
      </c>
      <c r="D1085" s="1" t="s">
        <v>1090</v>
      </c>
      <c r="E1085" s="1" t="s">
        <v>1121</v>
      </c>
      <c r="F1085" s="1" t="s">
        <v>1105</v>
      </c>
      <c r="G1085" s="1" t="s">
        <v>1084</v>
      </c>
      <c r="H1085">
        <v>61</v>
      </c>
      <c r="I1085">
        <v>35769</v>
      </c>
      <c r="K1085">
        <v>0</v>
      </c>
      <c r="L1085" s="1" t="s">
        <v>1100</v>
      </c>
      <c r="M1085" s="1" t="s">
        <v>1188</v>
      </c>
      <c r="N1085" t="s">
        <v>2487</v>
      </c>
    </row>
    <row r="1086" spans="1:14">
      <c r="A1086" s="1" t="s">
        <v>2488</v>
      </c>
      <c r="B1086" s="1" t="s">
        <v>2489</v>
      </c>
      <c r="C1086" s="1" t="s">
        <v>1089</v>
      </c>
      <c r="D1086" s="1" t="s">
        <v>1090</v>
      </c>
      <c r="E1086" s="1" t="s">
        <v>1091</v>
      </c>
      <c r="F1086" s="1" t="s">
        <v>1083</v>
      </c>
      <c r="G1086" s="1" t="s">
        <v>1084</v>
      </c>
      <c r="H1086">
        <v>33</v>
      </c>
      <c r="I1086">
        <v>44440</v>
      </c>
      <c r="K1086">
        <v>0</v>
      </c>
      <c r="L1086" s="1" t="s">
        <v>1100</v>
      </c>
      <c r="M1086" s="1" t="s">
        <v>1101</v>
      </c>
      <c r="N1086" t="s">
        <v>1241</v>
      </c>
    </row>
    <row r="1087" spans="1:14">
      <c r="A1087" s="1" t="s">
        <v>2490</v>
      </c>
      <c r="B1087" s="1" t="s">
        <v>2491</v>
      </c>
      <c r="C1087" s="1" t="s">
        <v>1110</v>
      </c>
      <c r="D1087" s="1" t="s">
        <v>1148</v>
      </c>
      <c r="E1087" s="1" t="s">
        <v>1091</v>
      </c>
      <c r="F1087" s="1" t="s">
        <v>1105</v>
      </c>
      <c r="G1087" s="1" t="s">
        <v>1084</v>
      </c>
      <c r="H1087">
        <v>41</v>
      </c>
      <c r="I1087">
        <v>44325</v>
      </c>
      <c r="K1087">
        <v>0.23</v>
      </c>
      <c r="L1087" s="1" t="s">
        <v>1100</v>
      </c>
      <c r="M1087" s="1" t="s">
        <v>1129</v>
      </c>
      <c r="N1087" t="s">
        <v>1241</v>
      </c>
    </row>
    <row r="1088" spans="1:14">
      <c r="A1088" s="1" t="s">
        <v>2492</v>
      </c>
      <c r="B1088" s="1" t="s">
        <v>2493</v>
      </c>
      <c r="C1088" s="1" t="s">
        <v>1132</v>
      </c>
      <c r="D1088" s="1" t="s">
        <v>1097</v>
      </c>
      <c r="E1088" s="1" t="s">
        <v>1082</v>
      </c>
      <c r="F1088" s="1" t="s">
        <v>1105</v>
      </c>
      <c r="G1088" s="1" t="s">
        <v>1084</v>
      </c>
      <c r="H1088">
        <v>36</v>
      </c>
      <c r="I1088" t="s">
        <v>2494</v>
      </c>
      <c r="J1088">
        <v>79876</v>
      </c>
      <c r="K1088">
        <v>0</v>
      </c>
      <c r="L1088" s="1" t="s">
        <v>1085</v>
      </c>
      <c r="M1088" s="1" t="s">
        <v>1107</v>
      </c>
      <c r="N1088">
        <v>44959</v>
      </c>
    </row>
    <row r="1089" spans="1:14">
      <c r="A1089" s="1" t="s">
        <v>2495</v>
      </c>
      <c r="B1089" s="1" t="s">
        <v>2496</v>
      </c>
      <c r="C1089" s="1" t="s">
        <v>1136</v>
      </c>
      <c r="D1089" s="1" t="s">
        <v>1090</v>
      </c>
      <c r="E1089" s="1" t="s">
        <v>1091</v>
      </c>
      <c r="F1089" s="1" t="s">
        <v>1105</v>
      </c>
      <c r="G1089" s="1" t="s">
        <v>1084</v>
      </c>
      <c r="H1089">
        <v>42</v>
      </c>
      <c r="I1089">
        <v>43254</v>
      </c>
      <c r="J1089">
        <v>112593</v>
      </c>
      <c r="K1089">
        <v>0.05</v>
      </c>
      <c r="L1089" s="1" t="s">
        <v>1085</v>
      </c>
      <c r="M1089" s="1" t="s">
        <v>1107</v>
      </c>
      <c r="N1089" t="s">
        <v>1241</v>
      </c>
    </row>
    <row r="1090" spans="1:14">
      <c r="A1090" s="1" t="s">
        <v>2497</v>
      </c>
      <c r="B1090" s="1" t="s">
        <v>2498</v>
      </c>
      <c r="C1090" s="1" t="s">
        <v>1132</v>
      </c>
      <c r="D1090" s="1" t="s">
        <v>1097</v>
      </c>
      <c r="E1090" s="1" t="s">
        <v>1082</v>
      </c>
      <c r="F1090" s="1" t="s">
        <v>1105</v>
      </c>
      <c r="G1090" s="1" t="s">
        <v>1133</v>
      </c>
      <c r="H1090">
        <v>36</v>
      </c>
      <c r="I1090">
        <v>42440</v>
      </c>
      <c r="J1090">
        <v>99249</v>
      </c>
      <c r="K1090">
        <v>0</v>
      </c>
      <c r="L1090" s="1" t="s">
        <v>1085</v>
      </c>
      <c r="M1090" s="1" t="s">
        <v>1137</v>
      </c>
      <c r="N1090" t="s">
        <v>1241</v>
      </c>
    </row>
    <row r="1091" spans="1:14">
      <c r="A1091" s="1" t="s">
        <v>2499</v>
      </c>
      <c r="B1091" s="1" t="s">
        <v>2500</v>
      </c>
      <c r="C1091" s="1" t="s">
        <v>1136</v>
      </c>
      <c r="D1091" s="1" t="s">
        <v>1127</v>
      </c>
      <c r="E1091" s="1" t="s">
        <v>1082</v>
      </c>
      <c r="F1091" s="1" t="s">
        <v>1105</v>
      </c>
      <c r="G1091" s="1" t="s">
        <v>1133</v>
      </c>
      <c r="H1091">
        <v>55</v>
      </c>
      <c r="I1091">
        <v>41251</v>
      </c>
      <c r="J1091">
        <v>117421</v>
      </c>
      <c r="K1091">
        <v>0.05</v>
      </c>
      <c r="L1091" s="1" t="s">
        <v>1085</v>
      </c>
      <c r="M1091" s="1" t="s">
        <v>1112</v>
      </c>
      <c r="N1091" t="s">
        <v>2501</v>
      </c>
    </row>
    <row r="1092" spans="1:14">
      <c r="A1092" s="1" t="s">
        <v>2502</v>
      </c>
      <c r="B1092" s="1" t="s">
        <v>2503</v>
      </c>
      <c r="C1092" s="1" t="s">
        <v>1446</v>
      </c>
      <c r="D1092" s="1" t="s">
        <v>1081</v>
      </c>
      <c r="E1092" s="1" t="s">
        <v>1091</v>
      </c>
      <c r="F1092" s="1" t="s">
        <v>1105</v>
      </c>
      <c r="G1092" s="1"/>
      <c r="I1092" t="s">
        <v>2504</v>
      </c>
      <c r="J1092">
        <v>82241</v>
      </c>
      <c r="K1092">
        <v>0</v>
      </c>
      <c r="L1092" s="1" t="s">
        <v>1100</v>
      </c>
      <c r="M1092" s="1" t="s">
        <v>1101</v>
      </c>
      <c r="N1092" t="s">
        <v>1241</v>
      </c>
    </row>
    <row r="1093" spans="1:14">
      <c r="A1093" s="1" t="s">
        <v>2505</v>
      </c>
      <c r="B1093" s="1" t="s">
        <v>2506</v>
      </c>
      <c r="C1093" s="1" t="s">
        <v>1136</v>
      </c>
      <c r="D1093" s="1" t="s">
        <v>1148</v>
      </c>
      <c r="E1093" s="1" t="s">
        <v>1098</v>
      </c>
      <c r="F1093" s="1"/>
      <c r="G1093" s="1"/>
      <c r="H1093">
        <v>31</v>
      </c>
      <c r="J1093">
        <v>125664</v>
      </c>
      <c r="K1093">
        <v>0.05</v>
      </c>
      <c r="L1093" s="1" t="s">
        <v>1221</v>
      </c>
      <c r="M1093" s="1" t="s">
        <v>1443</v>
      </c>
      <c r="N1093" t="s">
        <v>1241</v>
      </c>
    </row>
    <row r="1094" spans="1:14">
      <c r="A1094" s="1" t="s">
        <v>2081</v>
      </c>
      <c r="B1094" s="1" t="s">
        <v>2082</v>
      </c>
      <c r="C1094" s="1" t="s">
        <v>1173</v>
      </c>
      <c r="D1094" s="1" t="s">
        <v>1097</v>
      </c>
      <c r="E1094" s="1"/>
      <c r="F1094" s="1" t="s">
        <v>1105</v>
      </c>
      <c r="G1094" s="1"/>
      <c r="H1094">
        <v>25</v>
      </c>
      <c r="J1094">
        <v>86075</v>
      </c>
      <c r="K1094">
        <v>0</v>
      </c>
      <c r="L1094" s="1" t="s">
        <v>1085</v>
      </c>
      <c r="M1094" s="1" t="s">
        <v>1137</v>
      </c>
      <c r="N1094" t="s">
        <v>1241</v>
      </c>
    </row>
    <row r="1095" spans="1:14">
      <c r="A1095" s="1" t="s">
        <v>2084</v>
      </c>
      <c r="B1095" s="1" t="s">
        <v>2085</v>
      </c>
      <c r="C1095" s="1" t="s">
        <v>1089</v>
      </c>
      <c r="D1095" s="1" t="s">
        <v>1127</v>
      </c>
      <c r="E1095" s="1"/>
      <c r="F1095" s="1" t="s">
        <v>1083</v>
      </c>
      <c r="G1095" s="1" t="s">
        <v>1106</v>
      </c>
      <c r="H1095">
        <v>45</v>
      </c>
      <c r="I1095" t="s">
        <v>2086</v>
      </c>
      <c r="J1095">
        <v>52798</v>
      </c>
      <c r="K1095">
        <v>0</v>
      </c>
      <c r="L1095" s="1" t="s">
        <v>1085</v>
      </c>
      <c r="M1095" s="1" t="s">
        <v>1137</v>
      </c>
      <c r="N1095" t="s">
        <v>2087</v>
      </c>
    </row>
    <row r="1096" spans="1:14">
      <c r="A1096" s="1" t="s">
        <v>2088</v>
      </c>
      <c r="B1096" s="1" t="s">
        <v>2089</v>
      </c>
      <c r="C1096" s="1" t="s">
        <v>1560</v>
      </c>
      <c r="D1096" s="1" t="s">
        <v>1097</v>
      </c>
      <c r="E1096" s="1"/>
      <c r="F1096" s="1" t="s">
        <v>1105</v>
      </c>
      <c r="G1096" s="1" t="s">
        <v>1084</v>
      </c>
      <c r="H1096">
        <v>63</v>
      </c>
      <c r="I1096" t="s">
        <v>2090</v>
      </c>
      <c r="K1096">
        <v>0</v>
      </c>
      <c r="L1096" s="1" t="s">
        <v>1100</v>
      </c>
      <c r="M1096" s="1" t="s">
        <v>1101</v>
      </c>
      <c r="N1096" t="s">
        <v>1241</v>
      </c>
    </row>
    <row r="1097" spans="1:14">
      <c r="A1097" s="1" t="s">
        <v>2091</v>
      </c>
      <c r="B1097" s="1" t="s">
        <v>2092</v>
      </c>
      <c r="C1097" s="1" t="s">
        <v>1119</v>
      </c>
      <c r="D1097" s="1" t="s">
        <v>1148</v>
      </c>
      <c r="E1097" s="1"/>
      <c r="F1097" s="1" t="s">
        <v>1083</v>
      </c>
      <c r="G1097" s="1" t="s">
        <v>1106</v>
      </c>
      <c r="H1097">
        <v>52</v>
      </c>
      <c r="I1097">
        <v>37568</v>
      </c>
      <c r="J1097">
        <v>95682</v>
      </c>
      <c r="K1097">
        <v>0</v>
      </c>
      <c r="L1097" s="1" t="s">
        <v>1085</v>
      </c>
      <c r="M1097" s="1" t="s">
        <v>1107</v>
      </c>
      <c r="N1097" t="s">
        <v>2093</v>
      </c>
    </row>
    <row r="1098" spans="1:14">
      <c r="A1098" s="1" t="s">
        <v>2094</v>
      </c>
      <c r="B1098" s="1" t="s">
        <v>2095</v>
      </c>
      <c r="C1098" s="1" t="s">
        <v>1126</v>
      </c>
      <c r="D1098" s="1" t="s">
        <v>1148</v>
      </c>
      <c r="E1098" s="1"/>
      <c r="F1098" s="1" t="s">
        <v>1105</v>
      </c>
      <c r="G1098" s="1" t="s">
        <v>1084</v>
      </c>
      <c r="H1098">
        <v>59</v>
      </c>
      <c r="I1098" t="s">
        <v>2096</v>
      </c>
      <c r="J1098">
        <v>55476</v>
      </c>
      <c r="K1098">
        <v>0</v>
      </c>
      <c r="L1098" s="1" t="s">
        <v>1100</v>
      </c>
      <c r="M1098" s="1" t="s">
        <v>1123</v>
      </c>
      <c r="N1098" t="s">
        <v>1241</v>
      </c>
    </row>
    <row r="1099" spans="1:14">
      <c r="A1099" s="1" t="s">
        <v>2097</v>
      </c>
      <c r="B1099" s="1" t="s">
        <v>2098</v>
      </c>
      <c r="C1099" s="1" t="s">
        <v>1160</v>
      </c>
      <c r="D1099" s="1" t="s">
        <v>1127</v>
      </c>
      <c r="E1099" s="1" t="s">
        <v>1082</v>
      </c>
      <c r="F1099" s="1"/>
      <c r="G1099" s="1" t="s">
        <v>1133</v>
      </c>
      <c r="H1099">
        <v>30</v>
      </c>
      <c r="I1099" t="s">
        <v>2099</v>
      </c>
      <c r="J1099">
        <v>197792</v>
      </c>
      <c r="K1099">
        <v>0.34</v>
      </c>
      <c r="L1099" s="1" t="s">
        <v>1085</v>
      </c>
      <c r="M1099" s="1" t="s">
        <v>1112</v>
      </c>
      <c r="N1099" t="s">
        <v>1241</v>
      </c>
    </row>
    <row r="1100" spans="1:14">
      <c r="A1100" s="1" t="s">
        <v>2100</v>
      </c>
      <c r="B1100" s="1" t="s">
        <v>2101</v>
      </c>
      <c r="C1100" s="1" t="s">
        <v>1446</v>
      </c>
      <c r="D1100" s="1" t="s">
        <v>1081</v>
      </c>
      <c r="E1100" s="1"/>
      <c r="F1100" s="1" t="s">
        <v>1105</v>
      </c>
      <c r="G1100" s="1" t="s">
        <v>1133</v>
      </c>
      <c r="H1100">
        <v>55</v>
      </c>
      <c r="I1100">
        <v>40093</v>
      </c>
      <c r="J1100">
        <v>82271</v>
      </c>
      <c r="K1100">
        <v>0</v>
      </c>
      <c r="L1100" s="1" t="s">
        <v>1085</v>
      </c>
      <c r="M1100" s="1" t="s">
        <v>1093</v>
      </c>
      <c r="N1100" t="s">
        <v>1241</v>
      </c>
    </row>
    <row r="1101" spans="1:14">
      <c r="A1101" s="1" t="s">
        <v>2102</v>
      </c>
      <c r="B1101" s="1" t="s">
        <v>2103</v>
      </c>
      <c r="C1101" s="1" t="s">
        <v>1152</v>
      </c>
      <c r="D1101" s="1" t="s">
        <v>1120</v>
      </c>
      <c r="E1101" s="1"/>
      <c r="F1101" s="1" t="s">
        <v>1083</v>
      </c>
      <c r="G1101" s="1" t="s">
        <v>1084</v>
      </c>
      <c r="H1101">
        <v>65</v>
      </c>
      <c r="I1101" t="s">
        <v>2104</v>
      </c>
      <c r="J1101">
        <v>155716</v>
      </c>
      <c r="K1101">
        <v>0.12</v>
      </c>
      <c r="L1101" s="1" t="s">
        <v>1085</v>
      </c>
      <c r="M1101" s="1" t="s">
        <v>1107</v>
      </c>
      <c r="N1101" t="s">
        <v>1241</v>
      </c>
    </row>
    <row r="1102" spans="1:14">
      <c r="A1102" s="1" t="s">
        <v>2105</v>
      </c>
      <c r="B1102" s="1" t="s">
        <v>2106</v>
      </c>
      <c r="C1102" s="1" t="s">
        <v>1384</v>
      </c>
      <c r="D1102" s="1" t="s">
        <v>1208</v>
      </c>
      <c r="E1102" s="1" t="s">
        <v>1091</v>
      </c>
      <c r="F1102" s="1" t="s">
        <v>1105</v>
      </c>
      <c r="G1102" s="1" t="s">
        <v>1133</v>
      </c>
      <c r="H1102">
        <v>34</v>
      </c>
      <c r="I1102" t="s">
        <v>2107</v>
      </c>
      <c r="J1102">
        <v>71699</v>
      </c>
      <c r="K1102">
        <v>0</v>
      </c>
      <c r="L1102" s="1" t="s">
        <v>1085</v>
      </c>
      <c r="M1102" s="1" t="s">
        <v>1116</v>
      </c>
      <c r="N1102" t="s">
        <v>1241</v>
      </c>
    </row>
    <row r="1103" spans="1:14">
      <c r="A1103" s="1" t="s">
        <v>2108</v>
      </c>
      <c r="B1103" s="1" t="s">
        <v>2109</v>
      </c>
      <c r="C1103" s="1" t="s">
        <v>1152</v>
      </c>
      <c r="D1103" s="1" t="s">
        <v>1208</v>
      </c>
      <c r="E1103" s="1" t="s">
        <v>1082</v>
      </c>
      <c r="F1103" s="1" t="s">
        <v>1105</v>
      </c>
      <c r="G1103" s="1" t="s">
        <v>1084</v>
      </c>
      <c r="H1103">
        <v>51</v>
      </c>
      <c r="I1103" t="s">
        <v>2110</v>
      </c>
      <c r="J1103">
        <v>147436</v>
      </c>
      <c r="K1103">
        <v>0.11</v>
      </c>
      <c r="L1103" s="1" t="s">
        <v>1085</v>
      </c>
      <c r="M1103" s="1" t="s">
        <v>1112</v>
      </c>
      <c r="N1103" t="s">
        <v>1241</v>
      </c>
    </row>
    <row r="1104" spans="1:14">
      <c r="A1104" s="1" t="s">
        <v>2111</v>
      </c>
      <c r="B1104" s="1" t="s">
        <v>2112</v>
      </c>
      <c r="C1104" s="1" t="s">
        <v>1364</v>
      </c>
      <c r="D1104" s="1" t="s">
        <v>1208</v>
      </c>
      <c r="E1104" s="1" t="s">
        <v>1082</v>
      </c>
      <c r="F1104" s="1" t="s">
        <v>1105</v>
      </c>
      <c r="G1104" s="1" t="s">
        <v>1084</v>
      </c>
      <c r="H1104">
        <v>52</v>
      </c>
      <c r="I1104" t="s">
        <v>2113</v>
      </c>
      <c r="J1104">
        <v>88220</v>
      </c>
      <c r="K1104">
        <v>0</v>
      </c>
      <c r="L1104" s="1" t="s">
        <v>1100</v>
      </c>
      <c r="M1104" s="1" t="s">
        <v>1101</v>
      </c>
      <c r="N1104" t="s">
        <v>1241</v>
      </c>
    </row>
    <row r="1105" spans="1:14">
      <c r="A1105" s="1" t="s">
        <v>2114</v>
      </c>
      <c r="B1105" s="1" t="s">
        <v>2115</v>
      </c>
      <c r="C1105" s="1" t="s">
        <v>1177</v>
      </c>
      <c r="D1105" s="1" t="s">
        <v>1090</v>
      </c>
      <c r="E1105" s="1" t="s">
        <v>1121</v>
      </c>
      <c r="F1105" s="1" t="s">
        <v>1105</v>
      </c>
      <c r="G1105" s="1" t="s">
        <v>1106</v>
      </c>
      <c r="H1105">
        <v>44</v>
      </c>
      <c r="I1105">
        <v>43986</v>
      </c>
      <c r="J1105">
        <v>54295</v>
      </c>
      <c r="K1105">
        <v>0</v>
      </c>
      <c r="L1105" s="1" t="s">
        <v>1085</v>
      </c>
      <c r="M1105" s="1" t="s">
        <v>1086</v>
      </c>
      <c r="N1105" t="s">
        <v>1241</v>
      </c>
    </row>
    <row r="1106" spans="1:14">
      <c r="A1106" s="1" t="s">
        <v>1698</v>
      </c>
      <c r="B1106" s="1" t="s">
        <v>1699</v>
      </c>
      <c r="C1106" s="1" t="s">
        <v>1119</v>
      </c>
      <c r="D1106" s="1" t="s">
        <v>1120</v>
      </c>
      <c r="E1106" s="1" t="s">
        <v>1091</v>
      </c>
      <c r="F1106" s="1" t="s">
        <v>1083</v>
      </c>
      <c r="G1106" s="1" t="s">
        <v>1106</v>
      </c>
      <c r="H1106">
        <v>57</v>
      </c>
      <c r="I1106">
        <v>40272</v>
      </c>
      <c r="J1106">
        <v>74597</v>
      </c>
      <c r="K1106">
        <v>0</v>
      </c>
      <c r="L1106" s="1" t="s">
        <v>1085</v>
      </c>
      <c r="M1106" s="1" t="s">
        <v>1112</v>
      </c>
      <c r="N1106" t="s">
        <v>1700</v>
      </c>
    </row>
    <row r="1107" spans="1:14">
      <c r="A1107" s="1" t="s">
        <v>1701</v>
      </c>
      <c r="B1107" s="1" t="s">
        <v>1702</v>
      </c>
      <c r="C1107" s="1" t="s">
        <v>1110</v>
      </c>
      <c r="D1107" s="1" t="s">
        <v>1097</v>
      </c>
      <c r="E1107" s="1" t="s">
        <v>1082</v>
      </c>
      <c r="F1107" s="1" t="s">
        <v>1105</v>
      </c>
      <c r="G1107" s="1" t="s">
        <v>1133</v>
      </c>
      <c r="H1107">
        <v>65</v>
      </c>
      <c r="I1107" t="s">
        <v>1703</v>
      </c>
      <c r="J1107">
        <v>164102</v>
      </c>
      <c r="K1107">
        <v>0.3</v>
      </c>
      <c r="L1107" s="1" t="s">
        <v>1085</v>
      </c>
      <c r="M1107" s="1" t="s">
        <v>1086</v>
      </c>
      <c r="N1107" t="s">
        <v>1241</v>
      </c>
    </row>
    <row r="1108" spans="1:14">
      <c r="A1108" s="1" t="s">
        <v>1704</v>
      </c>
      <c r="B1108" s="1" t="s">
        <v>1705</v>
      </c>
      <c r="C1108" s="1" t="s">
        <v>1132</v>
      </c>
      <c r="D1108" s="1" t="s">
        <v>1097</v>
      </c>
      <c r="E1108" s="1" t="s">
        <v>1098</v>
      </c>
      <c r="F1108" s="1" t="s">
        <v>1105</v>
      </c>
      <c r="G1108" s="1" t="s">
        <v>1133</v>
      </c>
      <c r="H1108">
        <v>44</v>
      </c>
      <c r="I1108" t="s">
        <v>1706</v>
      </c>
      <c r="J1108">
        <v>74431</v>
      </c>
      <c r="K1108">
        <v>0</v>
      </c>
      <c r="L1108" s="1" t="s">
        <v>1085</v>
      </c>
      <c r="M1108" s="1" t="s">
        <v>1116</v>
      </c>
      <c r="N1108" t="s">
        <v>1241</v>
      </c>
    </row>
    <row r="1109" spans="1:14">
      <c r="A1109" s="1" t="s">
        <v>1707</v>
      </c>
      <c r="B1109" s="1" t="s">
        <v>1708</v>
      </c>
      <c r="C1109" s="1" t="s">
        <v>1089</v>
      </c>
      <c r="D1109" s="1" t="s">
        <v>1127</v>
      </c>
      <c r="E1109" s="1" t="s">
        <v>1121</v>
      </c>
      <c r="F1109" s="1" t="s">
        <v>1105</v>
      </c>
      <c r="G1109" s="1" t="s">
        <v>1106</v>
      </c>
      <c r="H1109">
        <v>52</v>
      </c>
      <c r="I1109" t="s">
        <v>1709</v>
      </c>
      <c r="J1109">
        <v>43378</v>
      </c>
      <c r="K1109">
        <v>0</v>
      </c>
      <c r="L1109" s="1" t="s">
        <v>1085</v>
      </c>
      <c r="M1109" s="1" t="s">
        <v>1137</v>
      </c>
      <c r="N1109" t="s">
        <v>1241</v>
      </c>
    </row>
    <row r="1110" spans="1:14">
      <c r="A1110" s="1" t="s">
        <v>1710</v>
      </c>
      <c r="B1110" s="1" t="s">
        <v>1711</v>
      </c>
      <c r="C1110" s="1" t="s">
        <v>1089</v>
      </c>
      <c r="D1110" s="1" t="s">
        <v>1127</v>
      </c>
      <c r="E1110" s="1" t="s">
        <v>1091</v>
      </c>
      <c r="F1110" s="1" t="s">
        <v>1083</v>
      </c>
      <c r="G1110" s="1" t="s">
        <v>1084</v>
      </c>
      <c r="H1110">
        <v>52</v>
      </c>
      <c r="I1110" t="s">
        <v>1712</v>
      </c>
      <c r="J1110">
        <v>47587</v>
      </c>
      <c r="K1110">
        <v>0</v>
      </c>
      <c r="L1110" s="1" t="s">
        <v>1085</v>
      </c>
      <c r="M1110" s="1" t="s">
        <v>1093</v>
      </c>
      <c r="N1110" t="s">
        <v>1241</v>
      </c>
    </row>
    <row r="1111" spans="1:14">
      <c r="A1111" s="1" t="s">
        <v>1713</v>
      </c>
      <c r="B1111" s="1" t="s">
        <v>1714</v>
      </c>
      <c r="C1111" s="1" t="s">
        <v>1110</v>
      </c>
      <c r="D1111" s="1" t="s">
        <v>1208</v>
      </c>
      <c r="E1111" s="1" t="s">
        <v>1121</v>
      </c>
      <c r="F1111" s="1" t="s">
        <v>1083</v>
      </c>
      <c r="G1111" s="1" t="s">
        <v>1106</v>
      </c>
      <c r="H1111">
        <v>53</v>
      </c>
      <c r="I1111" t="s">
        <v>1715</v>
      </c>
      <c r="J1111">
        <v>179983</v>
      </c>
      <c r="K1111">
        <v>0.16</v>
      </c>
      <c r="L1111" s="1" t="s">
        <v>1085</v>
      </c>
      <c r="M1111" s="1" t="s">
        <v>1116</v>
      </c>
      <c r="N1111" t="s">
        <v>1241</v>
      </c>
    </row>
    <row r="1112" spans="1:14">
      <c r="A1112" s="1" t="s">
        <v>1716</v>
      </c>
      <c r="B1112" s="1" t="s">
        <v>1717</v>
      </c>
      <c r="C1112" s="1" t="s">
        <v>1136</v>
      </c>
      <c r="D1112" s="1" t="s">
        <v>1148</v>
      </c>
      <c r="E1112" s="1" t="s">
        <v>1098</v>
      </c>
      <c r="F1112" s="1" t="s">
        <v>1083</v>
      </c>
      <c r="G1112" s="1" t="s">
        <v>1084</v>
      </c>
      <c r="H1112">
        <v>31</v>
      </c>
      <c r="I1112" t="s">
        <v>1718</v>
      </c>
      <c r="J1112">
        <v>115565</v>
      </c>
      <c r="K1112">
        <v>0.06</v>
      </c>
      <c r="L1112" s="1" t="s">
        <v>1085</v>
      </c>
      <c r="M1112" s="1" t="s">
        <v>1116</v>
      </c>
      <c r="N1112" t="s">
        <v>1241</v>
      </c>
    </row>
    <row r="1113" spans="1:14">
      <c r="A1113" s="1" t="s">
        <v>1719</v>
      </c>
      <c r="B1113" s="1" t="s">
        <v>1720</v>
      </c>
      <c r="C1113" s="1" t="s">
        <v>1136</v>
      </c>
      <c r="D1113" s="1" t="s">
        <v>1127</v>
      </c>
      <c r="E1113" s="1"/>
      <c r="F1113" s="1" t="s">
        <v>1105</v>
      </c>
      <c r="G1113" s="1" t="s">
        <v>1106</v>
      </c>
      <c r="H1113">
        <v>63</v>
      </c>
      <c r="I1113">
        <v>43017</v>
      </c>
      <c r="J1113">
        <v>126064</v>
      </c>
      <c r="K1113">
        <v>0.05</v>
      </c>
      <c r="L1113" s="1" t="s">
        <v>1085</v>
      </c>
      <c r="M1113" s="1" t="s">
        <v>1137</v>
      </c>
      <c r="N1113" t="s">
        <v>1241</v>
      </c>
    </row>
    <row r="1114" spans="1:14">
      <c r="A1114" s="1" t="s">
        <v>1721</v>
      </c>
      <c r="B1114" s="1" t="s">
        <v>1722</v>
      </c>
      <c r="C1114" s="1" t="s">
        <v>1152</v>
      </c>
      <c r="D1114" s="1" t="s">
        <v>1208</v>
      </c>
      <c r="E1114" s="1" t="s">
        <v>1121</v>
      </c>
      <c r="F1114" s="1" t="s">
        <v>1105</v>
      </c>
      <c r="G1114" s="1" t="s">
        <v>1153</v>
      </c>
      <c r="I1114" t="s">
        <v>1723</v>
      </c>
      <c r="J1114">
        <v>151666</v>
      </c>
      <c r="K1114">
        <v>0.13</v>
      </c>
      <c r="L1114" s="1" t="s">
        <v>1085</v>
      </c>
      <c r="M1114" s="1" t="s">
        <v>1093</v>
      </c>
      <c r="N1114" t="s">
        <v>1724</v>
      </c>
    </row>
    <row r="1115" spans="1:14">
      <c r="A1115" s="1" t="s">
        <v>1725</v>
      </c>
      <c r="B1115" s="1" t="s">
        <v>1726</v>
      </c>
      <c r="C1115" s="1" t="s">
        <v>1165</v>
      </c>
      <c r="D1115" s="1" t="s">
        <v>1097</v>
      </c>
      <c r="E1115" s="1" t="s">
        <v>1121</v>
      </c>
      <c r="F1115" s="1" t="s">
        <v>1083</v>
      </c>
      <c r="G1115" s="1" t="s">
        <v>1133</v>
      </c>
      <c r="H1115">
        <v>63</v>
      </c>
      <c r="I1115">
        <v>36834</v>
      </c>
      <c r="K1115">
        <v>0</v>
      </c>
      <c r="L1115" s="1" t="s">
        <v>1085</v>
      </c>
      <c r="M1115" s="1" t="s">
        <v>1107</v>
      </c>
      <c r="N1115" t="s">
        <v>1241</v>
      </c>
    </row>
    <row r="1116" spans="1:14">
      <c r="A1116" s="1" t="s">
        <v>1727</v>
      </c>
      <c r="B1116" s="1" t="s">
        <v>1728</v>
      </c>
      <c r="C1116" s="1" t="s">
        <v>1275</v>
      </c>
      <c r="D1116" s="1" t="s">
        <v>1097</v>
      </c>
      <c r="E1116" s="1" t="s">
        <v>1082</v>
      </c>
      <c r="F1116" s="1" t="s">
        <v>1083</v>
      </c>
      <c r="G1116" s="1" t="s">
        <v>1084</v>
      </c>
      <c r="H1116">
        <v>27</v>
      </c>
      <c r="I1116" t="s">
        <v>1729</v>
      </c>
      <c r="J1116">
        <v>71502</v>
      </c>
      <c r="K1116">
        <v>0</v>
      </c>
      <c r="L1116" s="1" t="s">
        <v>1100</v>
      </c>
      <c r="M1116" s="1" t="s">
        <v>1123</v>
      </c>
      <c r="N1116" t="s">
        <v>1241</v>
      </c>
    </row>
    <row r="1117" spans="1:14">
      <c r="A1117" s="1" t="s">
        <v>1730</v>
      </c>
      <c r="B1117" s="1" t="s">
        <v>1731</v>
      </c>
      <c r="C1117" s="1" t="s">
        <v>1110</v>
      </c>
      <c r="D1117" s="1" t="s">
        <v>1090</v>
      </c>
      <c r="E1117" s="1" t="s">
        <v>1091</v>
      </c>
      <c r="F1117" s="1" t="s">
        <v>1105</v>
      </c>
      <c r="G1117" s="1" t="s">
        <v>1106</v>
      </c>
      <c r="H1117">
        <v>30</v>
      </c>
      <c r="I1117" t="s">
        <v>1732</v>
      </c>
      <c r="K1117">
        <v>0.24</v>
      </c>
      <c r="L1117" s="1" t="s">
        <v>1221</v>
      </c>
      <c r="M1117" s="1" t="s">
        <v>1443</v>
      </c>
      <c r="N1117" t="s">
        <v>1241</v>
      </c>
    </row>
    <row r="1118" spans="1:14">
      <c r="A1118" s="1" t="s">
        <v>1733</v>
      </c>
      <c r="B1118" s="1" t="s">
        <v>1734</v>
      </c>
      <c r="C1118" s="1" t="s">
        <v>1152</v>
      </c>
      <c r="D1118" s="1" t="s">
        <v>1090</v>
      </c>
      <c r="E1118" s="1" t="s">
        <v>1121</v>
      </c>
      <c r="F1118" s="1" t="s">
        <v>1105</v>
      </c>
      <c r="G1118" s="1" t="s">
        <v>1133</v>
      </c>
      <c r="H1118">
        <v>51</v>
      </c>
      <c r="I1118">
        <v>37813</v>
      </c>
      <c r="K1118">
        <v>0.12</v>
      </c>
      <c r="L1118" s="1" t="s">
        <v>1085</v>
      </c>
      <c r="M1118" s="1" t="s">
        <v>1107</v>
      </c>
      <c r="N1118" t="s">
        <v>1241</v>
      </c>
    </row>
    <row r="1119" spans="1:14">
      <c r="A1119" s="1" t="s">
        <v>1735</v>
      </c>
      <c r="B1119" s="1" t="s">
        <v>1736</v>
      </c>
      <c r="C1119" s="1" t="s">
        <v>1285</v>
      </c>
      <c r="D1119" s="1" t="s">
        <v>1097</v>
      </c>
      <c r="E1119" s="1" t="s">
        <v>1098</v>
      </c>
      <c r="F1119" s="1" t="s">
        <v>1083</v>
      </c>
      <c r="G1119" s="1" t="s">
        <v>1084</v>
      </c>
      <c r="H1119">
        <v>58</v>
      </c>
      <c r="I1119" t="s">
        <v>1737</v>
      </c>
      <c r="J1119">
        <v>85716</v>
      </c>
      <c r="K1119">
        <v>0</v>
      </c>
      <c r="L1119" s="1" t="s">
        <v>1100</v>
      </c>
      <c r="M1119" s="1" t="s">
        <v>1123</v>
      </c>
      <c r="N1119" t="s">
        <v>1241</v>
      </c>
    </row>
    <row r="1120" spans="1:14">
      <c r="A1120" s="1" t="s">
        <v>1738</v>
      </c>
      <c r="B1120" s="1" t="s">
        <v>1739</v>
      </c>
      <c r="C1120" s="1" t="s">
        <v>1110</v>
      </c>
      <c r="D1120" s="1" t="s">
        <v>1127</v>
      </c>
      <c r="E1120" s="1" t="s">
        <v>1091</v>
      </c>
      <c r="F1120" s="1"/>
      <c r="G1120" s="1" t="s">
        <v>1106</v>
      </c>
      <c r="H1120">
        <v>62</v>
      </c>
      <c r="I1120" t="s">
        <v>1740</v>
      </c>
      <c r="K1120">
        <v>0.24</v>
      </c>
      <c r="L1120" s="1" t="s">
        <v>1221</v>
      </c>
      <c r="M1120" s="1" t="s">
        <v>1443</v>
      </c>
      <c r="N1120" t="s">
        <v>1241</v>
      </c>
    </row>
    <row r="1121" spans="1:14">
      <c r="A1121" s="1" t="s">
        <v>1741</v>
      </c>
      <c r="B1121" s="1" t="s">
        <v>1742</v>
      </c>
      <c r="C1121" s="1"/>
      <c r="D1121" s="1" t="s">
        <v>1090</v>
      </c>
      <c r="E1121" s="1" t="s">
        <v>1082</v>
      </c>
      <c r="F1121" s="1" t="s">
        <v>1105</v>
      </c>
      <c r="G1121" s="1" t="s">
        <v>1106</v>
      </c>
      <c r="H1121">
        <v>27</v>
      </c>
      <c r="I1121">
        <v>44451</v>
      </c>
      <c r="K1121">
        <v>0.3</v>
      </c>
      <c r="L1121" s="1" t="s">
        <v>1221</v>
      </c>
      <c r="M1121" s="1" t="s">
        <v>1298</v>
      </c>
      <c r="N1121" t="s">
        <v>1241</v>
      </c>
    </row>
    <row r="1122" spans="1:14">
      <c r="A1122" s="1" t="s">
        <v>2490</v>
      </c>
      <c r="B1122" s="1" t="s">
        <v>2491</v>
      </c>
      <c r="C1122" s="1"/>
      <c r="D1122" s="1" t="s">
        <v>1148</v>
      </c>
      <c r="E1122" s="1" t="s">
        <v>1091</v>
      </c>
      <c r="F1122" s="1" t="s">
        <v>1105</v>
      </c>
      <c r="G1122" s="1" t="s">
        <v>1084</v>
      </c>
      <c r="H1122">
        <v>41</v>
      </c>
      <c r="I1122">
        <v>44325</v>
      </c>
      <c r="J1122">
        <v>192266</v>
      </c>
      <c r="K1122">
        <v>0.23</v>
      </c>
      <c r="L1122" s="1" t="s">
        <v>1100</v>
      </c>
      <c r="M1122" s="1" t="s">
        <v>1129</v>
      </c>
      <c r="N1122" t="s">
        <v>1241</v>
      </c>
    </row>
    <row r="1123" spans="1:14">
      <c r="A1123" s="1" t="s">
        <v>2492</v>
      </c>
      <c r="B1123" s="1" t="s">
        <v>2493</v>
      </c>
      <c r="C1123" s="1"/>
      <c r="D1123" s="1" t="s">
        <v>1097</v>
      </c>
      <c r="E1123" s="1" t="s">
        <v>1082</v>
      </c>
      <c r="F1123" s="1" t="s">
        <v>1105</v>
      </c>
      <c r="G1123" s="1" t="s">
        <v>1084</v>
      </c>
      <c r="H1123">
        <v>36</v>
      </c>
      <c r="I1123" t="s">
        <v>2494</v>
      </c>
      <c r="J1123">
        <v>79876</v>
      </c>
      <c r="K1123">
        <v>0</v>
      </c>
      <c r="L1123" s="1" t="s">
        <v>1085</v>
      </c>
      <c r="M1123" s="1" t="s">
        <v>1107</v>
      </c>
      <c r="N1123">
        <v>44959</v>
      </c>
    </row>
    <row r="1124" spans="1:14">
      <c r="A1124" s="1" t="s">
        <v>2495</v>
      </c>
      <c r="B1124" s="1" t="s">
        <v>2496</v>
      </c>
      <c r="C1124" s="1"/>
      <c r="D1124" s="1" t="s">
        <v>1090</v>
      </c>
      <c r="E1124" s="1" t="s">
        <v>1091</v>
      </c>
      <c r="F1124" s="1" t="s">
        <v>1105</v>
      </c>
      <c r="G1124" s="1" t="s">
        <v>1084</v>
      </c>
      <c r="H1124">
        <v>42</v>
      </c>
      <c r="I1124">
        <v>43254</v>
      </c>
      <c r="J1124">
        <v>112593</v>
      </c>
      <c r="L1124" s="1" t="s">
        <v>1085</v>
      </c>
      <c r="M1124" s="1" t="s">
        <v>1107</v>
      </c>
      <c r="N1124" t="s">
        <v>1241</v>
      </c>
    </row>
    <row r="1125" spans="1:14">
      <c r="A1125" s="1" t="s">
        <v>2497</v>
      </c>
      <c r="B1125" s="1" t="s">
        <v>2498</v>
      </c>
      <c r="C1125" s="1"/>
      <c r="D1125" s="1"/>
      <c r="E1125" s="1" t="s">
        <v>1082</v>
      </c>
      <c r="F1125" s="1" t="s">
        <v>1105</v>
      </c>
      <c r="G1125" s="1" t="s">
        <v>1133</v>
      </c>
      <c r="H1125">
        <v>36</v>
      </c>
      <c r="I1125">
        <v>42440</v>
      </c>
      <c r="K1125">
        <v>0</v>
      </c>
      <c r="L1125" s="1" t="s">
        <v>1085</v>
      </c>
      <c r="M1125" s="1" t="s">
        <v>1137</v>
      </c>
      <c r="N1125" t="s">
        <v>1241</v>
      </c>
    </row>
    <row r="1126" spans="1:14">
      <c r="A1126" s="1" t="s">
        <v>2499</v>
      </c>
      <c r="B1126" s="1" t="s">
        <v>2500</v>
      </c>
      <c r="C1126" s="1" t="s">
        <v>1136</v>
      </c>
      <c r="D1126" s="1"/>
      <c r="E1126" s="1" t="s">
        <v>1082</v>
      </c>
      <c r="F1126" s="1" t="s">
        <v>1105</v>
      </c>
      <c r="G1126" s="1" t="s">
        <v>1133</v>
      </c>
      <c r="H1126">
        <v>55</v>
      </c>
      <c r="I1126">
        <v>41251</v>
      </c>
      <c r="K1126">
        <v>0.05</v>
      </c>
      <c r="L1126" s="1" t="s">
        <v>1085</v>
      </c>
      <c r="M1126" s="1" t="s">
        <v>1112</v>
      </c>
      <c r="N1126" t="s">
        <v>2501</v>
      </c>
    </row>
    <row r="1127" spans="1:14">
      <c r="A1127" s="1" t="s">
        <v>2502</v>
      </c>
      <c r="B1127" s="1" t="s">
        <v>2503</v>
      </c>
      <c r="C1127" s="1" t="s">
        <v>1446</v>
      </c>
      <c r="D1127" s="1"/>
      <c r="E1127" s="1" t="s">
        <v>1091</v>
      </c>
      <c r="F1127" s="1" t="s">
        <v>1105</v>
      </c>
      <c r="G1127" s="1" t="s">
        <v>1084</v>
      </c>
      <c r="H1127">
        <v>44</v>
      </c>
      <c r="I1127" t="s">
        <v>2504</v>
      </c>
      <c r="L1127" s="1" t="s">
        <v>1100</v>
      </c>
      <c r="M1127" s="1" t="s">
        <v>1101</v>
      </c>
      <c r="N1127" t="s">
        <v>1241</v>
      </c>
    </row>
    <row r="1128" spans="1:14">
      <c r="A1128" s="1" t="s">
        <v>2505</v>
      </c>
      <c r="B1128" s="1" t="s">
        <v>2506</v>
      </c>
      <c r="C1128" s="1" t="s">
        <v>1136</v>
      </c>
      <c r="D1128" s="1"/>
      <c r="E1128" s="1" t="s">
        <v>1098</v>
      </c>
      <c r="F1128" s="1"/>
      <c r="G1128" s="1" t="s">
        <v>1106</v>
      </c>
      <c r="H1128">
        <v>31</v>
      </c>
      <c r="I1128" t="s">
        <v>2507</v>
      </c>
      <c r="K1128">
        <v>0.05</v>
      </c>
      <c r="L1128" s="1" t="s">
        <v>1221</v>
      </c>
      <c r="M1128" s="1" t="s">
        <v>1443</v>
      </c>
      <c r="N1128" t="s">
        <v>1241</v>
      </c>
    </row>
    <row r="1129" spans="1:14">
      <c r="A1129" s="1" t="s">
        <v>1842</v>
      </c>
      <c r="B1129" s="1" t="s">
        <v>1843</v>
      </c>
      <c r="C1129" s="1" t="s">
        <v>1160</v>
      </c>
      <c r="D1129" s="1" t="s">
        <v>1090</v>
      </c>
      <c r="E1129" s="1" t="s">
        <v>1121</v>
      </c>
      <c r="F1129" s="1"/>
      <c r="G1129" s="1" t="s">
        <v>1153</v>
      </c>
      <c r="H1129">
        <v>42</v>
      </c>
      <c r="I1129">
        <v>43801</v>
      </c>
      <c r="L1129" s="1" t="s">
        <v>1085</v>
      </c>
      <c r="M1129" s="1" t="s">
        <v>1112</v>
      </c>
      <c r="N1129" t="s">
        <v>1241</v>
      </c>
    </row>
    <row r="1130" spans="1:14">
      <c r="A1130" s="1" t="s">
        <v>1844</v>
      </c>
      <c r="B1130" s="1" t="s">
        <v>1845</v>
      </c>
      <c r="C1130" s="1" t="s">
        <v>1275</v>
      </c>
      <c r="D1130" s="1" t="s">
        <v>1097</v>
      </c>
      <c r="E1130" s="1"/>
      <c r="F1130" s="1" t="s">
        <v>1083</v>
      </c>
      <c r="G1130" s="1" t="s">
        <v>1106</v>
      </c>
      <c r="H1130">
        <v>52</v>
      </c>
      <c r="I1130">
        <v>39452</v>
      </c>
      <c r="K1130">
        <v>0</v>
      </c>
      <c r="L1130" s="1" t="s">
        <v>1085</v>
      </c>
      <c r="M1130" s="1" t="s">
        <v>1137</v>
      </c>
      <c r="N1130" t="s">
        <v>1241</v>
      </c>
    </row>
    <row r="1131" spans="1:14">
      <c r="A1131" s="1" t="s">
        <v>1846</v>
      </c>
      <c r="B1131" s="1" t="s">
        <v>1847</v>
      </c>
      <c r="C1131" s="1" t="s">
        <v>1412</v>
      </c>
      <c r="D1131" s="1" t="s">
        <v>1081</v>
      </c>
      <c r="E1131" s="1"/>
      <c r="F1131" s="1"/>
      <c r="G1131" s="1" t="s">
        <v>1133</v>
      </c>
      <c r="H1131">
        <v>50</v>
      </c>
      <c r="J1131">
        <v>96099</v>
      </c>
      <c r="K1131">
        <v>0.11</v>
      </c>
      <c r="L1131" s="1" t="s">
        <v>1085</v>
      </c>
      <c r="M1131" s="1" t="s">
        <v>1093</v>
      </c>
      <c r="N1131" t="s">
        <v>1241</v>
      </c>
    </row>
    <row r="1132" spans="1:14">
      <c r="A1132" s="1" t="s">
        <v>1849</v>
      </c>
      <c r="B1132" s="1" t="s">
        <v>1850</v>
      </c>
      <c r="C1132" s="1" t="s">
        <v>1104</v>
      </c>
      <c r="D1132" s="1" t="s">
        <v>1097</v>
      </c>
      <c r="E1132" s="1"/>
      <c r="F1132" s="1" t="s">
        <v>1105</v>
      </c>
      <c r="G1132" s="1" t="s">
        <v>1106</v>
      </c>
      <c r="H1132">
        <v>37</v>
      </c>
      <c r="I1132">
        <v>39816</v>
      </c>
      <c r="K1132">
        <v>0</v>
      </c>
      <c r="L1132" s="1" t="s">
        <v>1085</v>
      </c>
      <c r="M1132" s="1" t="s">
        <v>1093</v>
      </c>
      <c r="N1132" t="s">
        <v>1241</v>
      </c>
    </row>
    <row r="1133" spans="1:14">
      <c r="A1133" s="1" t="s">
        <v>1851</v>
      </c>
      <c r="B1133" s="1" t="s">
        <v>1852</v>
      </c>
      <c r="C1133" s="1" t="s">
        <v>1591</v>
      </c>
      <c r="D1133" s="1" t="s">
        <v>1090</v>
      </c>
      <c r="E1133" s="1"/>
      <c r="F1133" s="1" t="s">
        <v>1083</v>
      </c>
      <c r="G1133" s="1" t="s">
        <v>1084</v>
      </c>
      <c r="H1133">
        <v>58</v>
      </c>
      <c r="I1133" t="s">
        <v>1853</v>
      </c>
      <c r="J1133">
        <v>85094</v>
      </c>
      <c r="L1133" s="1" t="s">
        <v>1100</v>
      </c>
      <c r="M1133" s="1" t="s">
        <v>1129</v>
      </c>
      <c r="N1133" t="s">
        <v>1241</v>
      </c>
    </row>
    <row r="1134" spans="1:14">
      <c r="A1134" s="1" t="s">
        <v>3420</v>
      </c>
      <c r="B1134" s="1" t="s">
        <v>3421</v>
      </c>
      <c r="C1134" s="1" t="s">
        <v>1110</v>
      </c>
      <c r="D1134" s="1" t="s">
        <v>1097</v>
      </c>
      <c r="E1134" s="1" t="s">
        <v>1098</v>
      </c>
      <c r="F1134" s="1"/>
      <c r="G1134" s="1" t="s">
        <v>1084</v>
      </c>
      <c r="H1134">
        <v>45</v>
      </c>
      <c r="I1134">
        <v>40127</v>
      </c>
      <c r="L1134" s="1"/>
      <c r="M1134" s="1"/>
      <c r="N1134" t="s">
        <v>1241</v>
      </c>
    </row>
    <row r="1135" spans="1:14">
      <c r="A1135" s="1" t="s">
        <v>3422</v>
      </c>
      <c r="B1135" s="1" t="s">
        <v>3423</v>
      </c>
      <c r="C1135" s="1" t="s">
        <v>1594</v>
      </c>
      <c r="D1135" s="1" t="s">
        <v>1081</v>
      </c>
      <c r="E1135" s="1" t="s">
        <v>1091</v>
      </c>
      <c r="F1135" s="1" t="s">
        <v>1105</v>
      </c>
      <c r="G1135" s="1" t="s">
        <v>1133</v>
      </c>
      <c r="H1135">
        <v>37</v>
      </c>
      <c r="I1135" t="s">
        <v>3424</v>
      </c>
      <c r="L1135" s="1"/>
      <c r="M1135" s="1"/>
      <c r="N1135" t="s">
        <v>1241</v>
      </c>
    </row>
    <row r="1136" spans="1:14">
      <c r="A1136" s="1" t="s">
        <v>3425</v>
      </c>
      <c r="B1136" s="1" t="s">
        <v>1103</v>
      </c>
      <c r="C1136" s="1" t="s">
        <v>1160</v>
      </c>
      <c r="D1136" s="1" t="s">
        <v>1097</v>
      </c>
      <c r="E1136" s="1" t="s">
        <v>1091</v>
      </c>
      <c r="F1136" s="1" t="s">
        <v>1105</v>
      </c>
      <c r="G1136" s="1" t="s">
        <v>1106</v>
      </c>
      <c r="H1136">
        <v>46</v>
      </c>
      <c r="I1136">
        <v>43870</v>
      </c>
      <c r="L1136" s="1"/>
      <c r="M1136" s="1"/>
      <c r="N1136" t="s">
        <v>1241</v>
      </c>
    </row>
    <row r="1137" spans="1:14">
      <c r="A1137" s="1" t="s">
        <v>3427</v>
      </c>
      <c r="B1137" s="1" t="s">
        <v>3428</v>
      </c>
      <c r="C1137" s="1" t="s">
        <v>1213</v>
      </c>
      <c r="D1137" s="1" t="s">
        <v>1208</v>
      </c>
      <c r="E1137" s="1" t="s">
        <v>1121</v>
      </c>
      <c r="F1137" s="1" t="s">
        <v>1105</v>
      </c>
      <c r="G1137" s="1" t="s">
        <v>1084</v>
      </c>
      <c r="H1137">
        <v>49</v>
      </c>
      <c r="I1137" t="s">
        <v>3429</v>
      </c>
      <c r="J1137">
        <v>52292</v>
      </c>
      <c r="K1137">
        <v>0</v>
      </c>
      <c r="L1137" s="1" t="s">
        <v>1100</v>
      </c>
      <c r="M1137" s="1" t="s">
        <v>1129</v>
      </c>
      <c r="N1137" t="s">
        <v>1241</v>
      </c>
    </row>
    <row r="1138" spans="1:14">
      <c r="A1138" s="1" t="s">
        <v>3430</v>
      </c>
      <c r="B1138" s="1" t="s">
        <v>3431</v>
      </c>
      <c r="C1138" s="1" t="s">
        <v>1152</v>
      </c>
      <c r="D1138" s="1" t="s">
        <v>1208</v>
      </c>
      <c r="E1138" s="1" t="s">
        <v>1091</v>
      </c>
      <c r="F1138" s="1" t="s">
        <v>1105</v>
      </c>
      <c r="G1138" s="1" t="s">
        <v>1133</v>
      </c>
      <c r="H1138">
        <v>53</v>
      </c>
      <c r="I1138" t="s">
        <v>3432</v>
      </c>
      <c r="J1138">
        <v>69110</v>
      </c>
      <c r="K1138">
        <v>0</v>
      </c>
      <c r="L1138" s="1" t="s">
        <v>1085</v>
      </c>
      <c r="M1138" s="1" t="s">
        <v>1107</v>
      </c>
      <c r="N1138" t="s">
        <v>1241</v>
      </c>
    </row>
    <row r="1139" spans="1:14">
      <c r="A1139" s="1" t="s">
        <v>3149</v>
      </c>
      <c r="B1139" s="1" t="s">
        <v>3150</v>
      </c>
      <c r="C1139" s="1" t="s">
        <v>1173</v>
      </c>
      <c r="D1139" s="1" t="s">
        <v>1097</v>
      </c>
      <c r="E1139" s="1" t="s">
        <v>1082</v>
      </c>
      <c r="F1139" s="1" t="s">
        <v>1105</v>
      </c>
      <c r="G1139" s="1" t="s">
        <v>1106</v>
      </c>
      <c r="H1139">
        <v>38</v>
      </c>
      <c r="I1139" t="s">
        <v>3151</v>
      </c>
      <c r="J1139">
        <v>68676</v>
      </c>
      <c r="K1139">
        <v>0</v>
      </c>
      <c r="L1139" s="1" t="s">
        <v>1221</v>
      </c>
      <c r="M1139" s="1" t="s">
        <v>1298</v>
      </c>
      <c r="N1139" t="s">
        <v>1241</v>
      </c>
    </row>
    <row r="1140" spans="1:14">
      <c r="A1140" s="1" t="s">
        <v>3152</v>
      </c>
      <c r="B1140" s="1" t="s">
        <v>3153</v>
      </c>
      <c r="C1140" s="1" t="s">
        <v>1216</v>
      </c>
      <c r="D1140" s="1" t="s">
        <v>1081</v>
      </c>
      <c r="E1140" s="1" t="s">
        <v>1082</v>
      </c>
      <c r="F1140" s="1" t="s">
        <v>1105</v>
      </c>
      <c r="G1140" s="1" t="s">
        <v>1133</v>
      </c>
      <c r="H1140">
        <v>58</v>
      </c>
      <c r="I1140" t="s">
        <v>3154</v>
      </c>
      <c r="J1140">
        <v>86094</v>
      </c>
      <c r="K1140">
        <v>0</v>
      </c>
      <c r="L1140" s="1" t="s">
        <v>1085</v>
      </c>
      <c r="M1140" s="1" t="s">
        <v>1086</v>
      </c>
      <c r="N1140" t="s">
        <v>1241</v>
      </c>
    </row>
    <row r="1141" spans="1:14">
      <c r="A1141" s="1" t="s">
        <v>3155</v>
      </c>
      <c r="B1141" s="1" t="s">
        <v>3156</v>
      </c>
      <c r="C1141" s="1" t="s">
        <v>1285</v>
      </c>
      <c r="D1141" s="1" t="s">
        <v>1097</v>
      </c>
      <c r="E1141" s="1" t="s">
        <v>1121</v>
      </c>
      <c r="F1141" s="1" t="s">
        <v>1105</v>
      </c>
      <c r="G1141" s="1" t="s">
        <v>1133</v>
      </c>
      <c r="H1141">
        <v>27</v>
      </c>
      <c r="I1141">
        <v>44717</v>
      </c>
      <c r="J1141">
        <v>77607</v>
      </c>
      <c r="K1141">
        <v>0</v>
      </c>
      <c r="L1141" s="1" t="s">
        <v>1085</v>
      </c>
      <c r="M1141" s="1" t="s">
        <v>1137</v>
      </c>
      <c r="N1141" t="s">
        <v>1241</v>
      </c>
    </row>
    <row r="1142" spans="1:14">
      <c r="A1142" s="1" t="s">
        <v>2442</v>
      </c>
      <c r="B1142" s="1" t="s">
        <v>2443</v>
      </c>
      <c r="C1142" s="1" t="s">
        <v>1152</v>
      </c>
      <c r="D1142" s="1" t="s">
        <v>1097</v>
      </c>
      <c r="E1142" s="1" t="s">
        <v>1121</v>
      </c>
      <c r="F1142" s="1" t="s">
        <v>1083</v>
      </c>
      <c r="G1142" s="1" t="s">
        <v>1133</v>
      </c>
      <c r="H1142">
        <v>44</v>
      </c>
      <c r="I1142" t="s">
        <v>2444</v>
      </c>
      <c r="J1142">
        <v>151481</v>
      </c>
      <c r="K1142">
        <v>0.11</v>
      </c>
      <c r="L1142" s="1" t="s">
        <v>1085</v>
      </c>
      <c r="M1142" s="1" t="s">
        <v>1093</v>
      </c>
      <c r="N1142" t="s">
        <v>1241</v>
      </c>
    </row>
    <row r="1143" spans="1:14">
      <c r="A1143" s="1" t="s">
        <v>2445</v>
      </c>
      <c r="B1143" s="1" t="s">
        <v>2446</v>
      </c>
      <c r="C1143" s="1" t="s">
        <v>1089</v>
      </c>
      <c r="D1143" s="1" t="s">
        <v>1090</v>
      </c>
      <c r="E1143" s="1" t="s">
        <v>1098</v>
      </c>
      <c r="F1143" s="1" t="s">
        <v>1105</v>
      </c>
      <c r="G1143" s="1" t="s">
        <v>1084</v>
      </c>
      <c r="H1143">
        <v>37</v>
      </c>
      <c r="I1143">
        <v>42950</v>
      </c>
      <c r="J1143">
        <v>40508</v>
      </c>
      <c r="K1143">
        <v>0</v>
      </c>
      <c r="L1143" s="1" t="s">
        <v>1100</v>
      </c>
      <c r="M1143" s="1" t="s">
        <v>1188</v>
      </c>
      <c r="N1143" t="s">
        <v>1241</v>
      </c>
    </row>
    <row r="1144" spans="1:14">
      <c r="A1144" s="1" t="s">
        <v>2447</v>
      </c>
      <c r="B1144" s="1" t="s">
        <v>2448</v>
      </c>
      <c r="C1144" s="1" t="s">
        <v>1160</v>
      </c>
      <c r="D1144" s="1" t="s">
        <v>1120</v>
      </c>
      <c r="E1144" s="1" t="s">
        <v>1098</v>
      </c>
      <c r="F1144" s="1" t="s">
        <v>1105</v>
      </c>
      <c r="G1144" s="1" t="s">
        <v>1084</v>
      </c>
      <c r="H1144">
        <v>45</v>
      </c>
      <c r="I1144" t="s">
        <v>2449</v>
      </c>
      <c r="J1144">
        <v>200481</v>
      </c>
      <c r="K1144">
        <v>0.3</v>
      </c>
      <c r="L1144" s="1" t="s">
        <v>1085</v>
      </c>
      <c r="M1144" s="1" t="s">
        <v>1086</v>
      </c>
      <c r="N1144" t="s">
        <v>1241</v>
      </c>
    </row>
    <row r="1145" spans="1:14">
      <c r="A1145" s="1" t="s">
        <v>2450</v>
      </c>
      <c r="B1145" s="1" t="s">
        <v>2451</v>
      </c>
      <c r="C1145" s="1" t="s">
        <v>1160</v>
      </c>
      <c r="D1145" s="1" t="s">
        <v>1127</v>
      </c>
      <c r="E1145" s="1" t="s">
        <v>1082</v>
      </c>
      <c r="F1145" s="1" t="s">
        <v>1105</v>
      </c>
      <c r="G1145" s="1" t="s">
        <v>1106</v>
      </c>
      <c r="H1145">
        <v>65</v>
      </c>
      <c r="I1145" t="s">
        <v>2452</v>
      </c>
      <c r="J1145">
        <v>224872</v>
      </c>
      <c r="K1145">
        <v>0.39</v>
      </c>
      <c r="L1145" s="1" t="s">
        <v>1221</v>
      </c>
      <c r="M1145" s="1" t="s">
        <v>1298</v>
      </c>
      <c r="N1145" t="s">
        <v>1241</v>
      </c>
    </row>
    <row r="1146" spans="1:14">
      <c r="A1146" s="1" t="s">
        <v>2453</v>
      </c>
      <c r="B1146" s="1" t="s">
        <v>2454</v>
      </c>
      <c r="C1146" s="1" t="s">
        <v>1152</v>
      </c>
      <c r="D1146" s="1" t="s">
        <v>1208</v>
      </c>
      <c r="E1146" s="1" t="s">
        <v>1098</v>
      </c>
      <c r="F1146" s="1" t="s">
        <v>1083</v>
      </c>
      <c r="G1146" s="1" t="s">
        <v>1153</v>
      </c>
      <c r="H1146">
        <v>65</v>
      </c>
      <c r="I1146">
        <v>39213</v>
      </c>
      <c r="J1146">
        <v>149474</v>
      </c>
      <c r="K1146">
        <v>0.14000000000000001</v>
      </c>
      <c r="L1146" s="1" t="s">
        <v>1085</v>
      </c>
      <c r="M1146" s="1" t="s">
        <v>1116</v>
      </c>
      <c r="N1146" t="s">
        <v>1241</v>
      </c>
    </row>
    <row r="1147" spans="1:14">
      <c r="A1147" s="1" t="s">
        <v>2455</v>
      </c>
      <c r="B1147" s="1" t="s">
        <v>2456</v>
      </c>
      <c r="C1147" s="1" t="s">
        <v>1216</v>
      </c>
      <c r="D1147" s="1" t="s">
        <v>1081</v>
      </c>
      <c r="E1147" s="1" t="s">
        <v>1098</v>
      </c>
      <c r="F1147" s="1" t="s">
        <v>1105</v>
      </c>
      <c r="G1147" s="1" t="s">
        <v>1106</v>
      </c>
      <c r="H1147">
        <v>63</v>
      </c>
      <c r="I1147" t="s">
        <v>2457</v>
      </c>
      <c r="J1147">
        <v>86820</v>
      </c>
      <c r="K1147">
        <v>0</v>
      </c>
      <c r="L1147" s="1" t="s">
        <v>1085</v>
      </c>
      <c r="M1147" s="1" t="s">
        <v>1093</v>
      </c>
      <c r="N1147" t="s">
        <v>1241</v>
      </c>
    </row>
    <row r="1148" spans="1:14">
      <c r="A1148" s="1" t="s">
        <v>2458</v>
      </c>
      <c r="B1148" s="1" t="s">
        <v>2459</v>
      </c>
      <c r="C1148" s="1" t="s">
        <v>1110</v>
      </c>
      <c r="D1148" s="1" t="s">
        <v>1127</v>
      </c>
      <c r="E1148" s="1" t="s">
        <v>1082</v>
      </c>
      <c r="F1148" s="1" t="s">
        <v>1105</v>
      </c>
      <c r="G1148" s="1" t="s">
        <v>1084</v>
      </c>
      <c r="H1148">
        <v>55</v>
      </c>
      <c r="I1148">
        <v>34557</v>
      </c>
      <c r="J1148">
        <v>184078</v>
      </c>
      <c r="K1148">
        <v>0.28000000000000003</v>
      </c>
      <c r="L1148" s="1" t="s">
        <v>1100</v>
      </c>
      <c r="M1148" s="1" t="s">
        <v>1101</v>
      </c>
      <c r="N1148" t="s">
        <v>1241</v>
      </c>
    </row>
    <row r="1149" spans="1:14">
      <c r="A1149" s="1" t="s">
        <v>2460</v>
      </c>
      <c r="B1149" s="1" t="s">
        <v>2461</v>
      </c>
      <c r="C1149" s="1" t="s">
        <v>1089</v>
      </c>
      <c r="D1149" s="1" t="s">
        <v>1120</v>
      </c>
      <c r="E1149" s="1" t="s">
        <v>1091</v>
      </c>
      <c r="F1149" s="1" t="s">
        <v>1105</v>
      </c>
      <c r="G1149" s="1" t="s">
        <v>1084</v>
      </c>
      <c r="H1149">
        <v>58</v>
      </c>
      <c r="I1149" t="s">
        <v>2462</v>
      </c>
      <c r="J1149">
        <v>55174</v>
      </c>
      <c r="K1149">
        <v>0</v>
      </c>
      <c r="L1149" s="1" t="s">
        <v>1085</v>
      </c>
      <c r="M1149" s="1" t="s">
        <v>1112</v>
      </c>
      <c r="N1149" t="s">
        <v>1241</v>
      </c>
    </row>
    <row r="1150" spans="1:14">
      <c r="A1150" s="1" t="s">
        <v>2463</v>
      </c>
      <c r="B1150" s="1" t="s">
        <v>2464</v>
      </c>
      <c r="C1150" s="1" t="s">
        <v>1110</v>
      </c>
      <c r="D1150" s="1" t="s">
        <v>1127</v>
      </c>
      <c r="E1150" s="1" t="s">
        <v>1091</v>
      </c>
      <c r="F1150" s="1" t="s">
        <v>1105</v>
      </c>
      <c r="G1150" s="1" t="s">
        <v>1084</v>
      </c>
      <c r="H1150">
        <v>31</v>
      </c>
      <c r="I1150" t="s">
        <v>2465</v>
      </c>
      <c r="J1150">
        <v>152474</v>
      </c>
      <c r="K1150">
        <v>0.27</v>
      </c>
      <c r="L1150" s="1" t="s">
        <v>1085</v>
      </c>
      <c r="M1150" s="1" t="s">
        <v>1112</v>
      </c>
      <c r="N1150" t="s">
        <v>1241</v>
      </c>
    </row>
    <row r="1151" spans="1:14">
      <c r="A1151" s="1" t="s">
        <v>2466</v>
      </c>
      <c r="B1151" s="1" t="s">
        <v>2467</v>
      </c>
      <c r="C1151" s="1" t="s">
        <v>1096</v>
      </c>
      <c r="D1151" s="1" t="s">
        <v>1097</v>
      </c>
      <c r="E1151" s="1" t="s">
        <v>1121</v>
      </c>
      <c r="F1151" s="1" t="s">
        <v>1105</v>
      </c>
      <c r="G1151" s="1" t="s">
        <v>1084</v>
      </c>
      <c r="H1151">
        <v>28</v>
      </c>
      <c r="I1151" t="s">
        <v>2468</v>
      </c>
      <c r="J1151">
        <v>75172</v>
      </c>
      <c r="K1151">
        <v>0</v>
      </c>
      <c r="L1151" s="1" t="s">
        <v>1100</v>
      </c>
      <c r="M1151" s="1" t="s">
        <v>1101</v>
      </c>
      <c r="N1151" t="s">
        <v>1241</v>
      </c>
    </row>
    <row r="1152" spans="1:14">
      <c r="A1152" s="1" t="s">
        <v>2469</v>
      </c>
      <c r="B1152" s="1" t="s">
        <v>2470</v>
      </c>
      <c r="C1152" s="1" t="s">
        <v>1213</v>
      </c>
      <c r="D1152" s="1" t="s">
        <v>1208</v>
      </c>
      <c r="E1152" s="1" t="s">
        <v>1082</v>
      </c>
      <c r="F1152" s="1" t="s">
        <v>1105</v>
      </c>
      <c r="G1152" s="1" t="s">
        <v>1106</v>
      </c>
      <c r="H1152">
        <v>50</v>
      </c>
      <c r="I1152">
        <v>39729</v>
      </c>
      <c r="J1152">
        <v>56002</v>
      </c>
      <c r="K1152">
        <v>0</v>
      </c>
      <c r="L1152" s="1" t="s">
        <v>1085</v>
      </c>
      <c r="M1152" s="1" t="s">
        <v>1112</v>
      </c>
      <c r="N1152" t="s">
        <v>1241</v>
      </c>
    </row>
    <row r="1153" spans="1:14">
      <c r="A1153" s="1" t="s">
        <v>2471</v>
      </c>
      <c r="B1153" s="1" t="s">
        <v>2472</v>
      </c>
      <c r="C1153" s="1" t="s">
        <v>1110</v>
      </c>
      <c r="D1153" s="1" t="s">
        <v>1090</v>
      </c>
      <c r="E1153" s="1" t="s">
        <v>1098</v>
      </c>
      <c r="F1153" s="1" t="s">
        <v>1105</v>
      </c>
      <c r="G1153" s="1" t="s">
        <v>1106</v>
      </c>
      <c r="H1153">
        <v>61</v>
      </c>
      <c r="I1153" t="s">
        <v>2243</v>
      </c>
      <c r="J1153">
        <v>195636</v>
      </c>
      <c r="K1153">
        <v>0.21</v>
      </c>
      <c r="L1153" s="1" t="s">
        <v>1221</v>
      </c>
      <c r="M1153" s="1" t="s">
        <v>1222</v>
      </c>
      <c r="N1153" t="s">
        <v>1241</v>
      </c>
    </row>
    <row r="1154" spans="1:14">
      <c r="A1154" s="1" t="s">
        <v>2473</v>
      </c>
      <c r="B1154" s="1" t="s">
        <v>2474</v>
      </c>
      <c r="C1154" s="1" t="s">
        <v>1285</v>
      </c>
      <c r="D1154" s="1" t="s">
        <v>1097</v>
      </c>
      <c r="E1154" s="1" t="s">
        <v>1121</v>
      </c>
      <c r="F1154" s="1" t="s">
        <v>1083</v>
      </c>
      <c r="G1154" s="1" t="s">
        <v>1133</v>
      </c>
      <c r="H1154">
        <v>53</v>
      </c>
      <c r="I1154">
        <v>35433</v>
      </c>
      <c r="J1154">
        <v>63165</v>
      </c>
      <c r="K1154">
        <v>0</v>
      </c>
      <c r="L1154" s="1" t="s">
        <v>1085</v>
      </c>
      <c r="M1154" s="1" t="s">
        <v>1107</v>
      </c>
      <c r="N1154" t="s">
        <v>1241</v>
      </c>
    </row>
    <row r="1155" spans="1:14">
      <c r="A1155" s="1" t="s">
        <v>2475</v>
      </c>
      <c r="B1155" s="1" t="s">
        <v>2476</v>
      </c>
      <c r="C1155" s="1" t="s">
        <v>1089</v>
      </c>
      <c r="D1155" s="1" t="s">
        <v>1090</v>
      </c>
      <c r="E1155" s="1" t="s">
        <v>1098</v>
      </c>
      <c r="F1155" s="1" t="s">
        <v>1105</v>
      </c>
      <c r="G1155" s="1" t="s">
        <v>1084</v>
      </c>
      <c r="H1155">
        <v>51</v>
      </c>
      <c r="I1155" t="s">
        <v>2477</v>
      </c>
      <c r="J1155">
        <v>57277</v>
      </c>
      <c r="K1155">
        <v>0</v>
      </c>
      <c r="L1155" s="1" t="s">
        <v>1100</v>
      </c>
      <c r="M1155" s="1" t="s">
        <v>1101</v>
      </c>
      <c r="N1155" t="s">
        <v>1241</v>
      </c>
    </row>
    <row r="1156" spans="1:14">
      <c r="A1156" s="1" t="s">
        <v>2478</v>
      </c>
      <c r="B1156" s="1" t="s">
        <v>2479</v>
      </c>
      <c r="C1156" s="1" t="s">
        <v>1089</v>
      </c>
      <c r="D1156" s="1" t="s">
        <v>1127</v>
      </c>
      <c r="E1156" s="1" t="s">
        <v>1121</v>
      </c>
      <c r="F1156" s="1" t="s">
        <v>1105</v>
      </c>
      <c r="G1156" s="1" t="s">
        <v>1106</v>
      </c>
      <c r="H1156">
        <v>56</v>
      </c>
      <c r="I1156" t="s">
        <v>2480</v>
      </c>
      <c r="J1156">
        <v>42950</v>
      </c>
      <c r="K1156">
        <v>0</v>
      </c>
      <c r="L1156" s="1" t="s">
        <v>1221</v>
      </c>
      <c r="M1156" s="1" t="s">
        <v>1222</v>
      </c>
      <c r="N1156" t="s">
        <v>1241</v>
      </c>
    </row>
    <row r="1157" spans="1:14">
      <c r="A1157" s="1" t="s">
        <v>2481</v>
      </c>
      <c r="B1157" s="1" t="s">
        <v>2482</v>
      </c>
      <c r="C1157" s="1" t="s">
        <v>1110</v>
      </c>
      <c r="D1157" s="1" t="s">
        <v>1097</v>
      </c>
      <c r="E1157" s="1" t="s">
        <v>1098</v>
      </c>
      <c r="F1157" s="1" t="s">
        <v>1083</v>
      </c>
      <c r="G1157" s="1" t="s">
        <v>1106</v>
      </c>
      <c r="H1157">
        <v>38</v>
      </c>
      <c r="I1157">
        <v>43353</v>
      </c>
      <c r="J1157">
        <v>168410</v>
      </c>
      <c r="K1157">
        <v>0.3</v>
      </c>
      <c r="L1157" s="1" t="s">
        <v>1085</v>
      </c>
      <c r="M1157" s="1" t="s">
        <v>1093</v>
      </c>
      <c r="N1157" t="s">
        <v>1241</v>
      </c>
    </row>
    <row r="1158" spans="1:14">
      <c r="A1158" s="1" t="s">
        <v>2483</v>
      </c>
      <c r="B1158" s="1" t="s">
        <v>2484</v>
      </c>
      <c r="C1158" s="1" t="s">
        <v>1136</v>
      </c>
      <c r="D1158" s="1" t="s">
        <v>1097</v>
      </c>
      <c r="E1158" s="1" t="s">
        <v>1091</v>
      </c>
      <c r="F1158" s="1" t="s">
        <v>1105</v>
      </c>
      <c r="G1158" s="1" t="s">
        <v>1133</v>
      </c>
      <c r="H1158">
        <v>41</v>
      </c>
      <c r="I1158">
        <v>39786</v>
      </c>
      <c r="J1158">
        <v>114588</v>
      </c>
      <c r="K1158">
        <v>0.05</v>
      </c>
      <c r="L1158" s="1" t="s">
        <v>1085</v>
      </c>
      <c r="M1158" s="1" t="s">
        <v>1137</v>
      </c>
      <c r="N1158" t="s">
        <v>1241</v>
      </c>
    </row>
    <row r="1159" spans="1:14">
      <c r="A1159" s="1" t="s">
        <v>1889</v>
      </c>
      <c r="B1159" s="1" t="s">
        <v>1890</v>
      </c>
      <c r="C1159" s="1" t="s">
        <v>1318</v>
      </c>
      <c r="D1159" s="1" t="s">
        <v>1081</v>
      </c>
      <c r="E1159" s="1" t="s">
        <v>1091</v>
      </c>
      <c r="F1159" s="1" t="s">
        <v>1083</v>
      </c>
      <c r="G1159" s="1" t="s">
        <v>1084</v>
      </c>
      <c r="H1159">
        <v>55</v>
      </c>
      <c r="I1159">
        <v>42282</v>
      </c>
      <c r="J1159">
        <v>121976</v>
      </c>
      <c r="K1159">
        <v>0</v>
      </c>
      <c r="L1159" s="1"/>
      <c r="M1159" s="1"/>
      <c r="N1159" t="s">
        <v>1241</v>
      </c>
    </row>
    <row r="1160" spans="1:14">
      <c r="A1160" s="1" t="s">
        <v>1891</v>
      </c>
      <c r="B1160" s="1" t="s">
        <v>1892</v>
      </c>
      <c r="C1160" s="1" t="s">
        <v>1152</v>
      </c>
      <c r="D1160" s="1" t="s">
        <v>1090</v>
      </c>
      <c r="E1160" s="1" t="s">
        <v>1091</v>
      </c>
      <c r="F1160" s="1" t="s">
        <v>1105</v>
      </c>
      <c r="G1160" s="1" t="s">
        <v>1084</v>
      </c>
      <c r="H1160">
        <v>32</v>
      </c>
      <c r="I1160">
        <v>44902</v>
      </c>
      <c r="J1160">
        <v>126464</v>
      </c>
      <c r="K1160">
        <v>0.15</v>
      </c>
      <c r="L1160" s="1"/>
      <c r="M1160" s="1"/>
      <c r="N1160" t="s">
        <v>1241</v>
      </c>
    </row>
    <row r="1161" spans="1:14">
      <c r="A1161" s="1" t="s">
        <v>1893</v>
      </c>
      <c r="B1161" s="1" t="s">
        <v>1894</v>
      </c>
      <c r="C1161" s="1" t="s">
        <v>1160</v>
      </c>
      <c r="D1161" s="1" t="s">
        <v>1120</v>
      </c>
      <c r="E1161" s="1" t="s">
        <v>1082</v>
      </c>
      <c r="F1161" s="1" t="s">
        <v>1105</v>
      </c>
      <c r="G1161" s="1" t="s">
        <v>1084</v>
      </c>
      <c r="H1161">
        <v>53</v>
      </c>
      <c r="I1161">
        <v>38481</v>
      </c>
      <c r="J1161">
        <v>234064</v>
      </c>
      <c r="K1161">
        <v>0.33</v>
      </c>
      <c r="L1161" s="1"/>
      <c r="M1161" s="1"/>
      <c r="N1161" t="s">
        <v>1241</v>
      </c>
    </row>
    <row r="1162" spans="1:14">
      <c r="A1162" s="1" t="s">
        <v>1895</v>
      </c>
      <c r="B1162" s="1" t="s">
        <v>1896</v>
      </c>
      <c r="C1162" s="1" t="s">
        <v>1119</v>
      </c>
      <c r="D1162" s="1" t="s">
        <v>1127</v>
      </c>
      <c r="E1162" s="1" t="s">
        <v>1082</v>
      </c>
      <c r="F1162" s="1" t="s">
        <v>1083</v>
      </c>
      <c r="G1162" s="1" t="s">
        <v>1084</v>
      </c>
      <c r="H1162">
        <v>59</v>
      </c>
      <c r="I1162" t="s">
        <v>1897</v>
      </c>
      <c r="J1162">
        <v>81829</v>
      </c>
      <c r="K1162">
        <v>0</v>
      </c>
      <c r="L1162" s="1"/>
      <c r="M1162" s="1"/>
      <c r="N1162" t="s">
        <v>1241</v>
      </c>
    </row>
    <row r="1163" spans="1:14">
      <c r="A1163" s="1" t="s">
        <v>1898</v>
      </c>
      <c r="B1163" s="1" t="s">
        <v>1899</v>
      </c>
      <c r="C1163" s="1" t="s">
        <v>1110</v>
      </c>
      <c r="D1163" s="1" t="s">
        <v>1208</v>
      </c>
      <c r="E1163" s="1" t="s">
        <v>1091</v>
      </c>
      <c r="F1163" s="1" t="s">
        <v>1105</v>
      </c>
      <c r="G1163" s="1" t="s">
        <v>1084</v>
      </c>
      <c r="H1163">
        <v>26</v>
      </c>
      <c r="I1163" t="s">
        <v>1900</v>
      </c>
      <c r="J1163">
        <v>193971</v>
      </c>
      <c r="K1163">
        <v>0.22</v>
      </c>
      <c r="L1163" s="1"/>
      <c r="M1163" s="1"/>
      <c r="N1163" t="s">
        <v>1241</v>
      </c>
    </row>
    <row r="1164" spans="1:14">
      <c r="A1164" s="1" t="s">
        <v>1901</v>
      </c>
      <c r="B1164" s="1" t="s">
        <v>1902</v>
      </c>
      <c r="C1164" s="1" t="s">
        <v>1213</v>
      </c>
      <c r="D1164" s="1" t="s">
        <v>1208</v>
      </c>
      <c r="E1164" s="1" t="s">
        <v>1091</v>
      </c>
      <c r="F1164" s="1" t="s">
        <v>1083</v>
      </c>
      <c r="G1164" s="1" t="s">
        <v>1084</v>
      </c>
      <c r="H1164">
        <v>55</v>
      </c>
      <c r="I1164" t="s">
        <v>1903</v>
      </c>
      <c r="J1164">
        <v>47696</v>
      </c>
      <c r="K1164">
        <v>0</v>
      </c>
      <c r="L1164" s="1"/>
      <c r="M1164" s="1"/>
      <c r="N1164" t="s">
        <v>1241</v>
      </c>
    </row>
    <row r="1165" spans="1:14">
      <c r="A1165" s="1" t="s">
        <v>1904</v>
      </c>
      <c r="B1165" s="1" t="s">
        <v>1905</v>
      </c>
      <c r="C1165" s="1" t="s">
        <v>1136</v>
      </c>
      <c r="D1165" s="1" t="s">
        <v>1120</v>
      </c>
      <c r="E1165" s="1" t="s">
        <v>1121</v>
      </c>
      <c r="F1165" s="1" t="s">
        <v>1083</v>
      </c>
      <c r="G1165" s="1" t="s">
        <v>1084</v>
      </c>
      <c r="H1165">
        <v>34</v>
      </c>
      <c r="I1165" t="s">
        <v>1906</v>
      </c>
      <c r="J1165">
        <v>116676</v>
      </c>
      <c r="K1165">
        <v>0.1</v>
      </c>
      <c r="L1165" s="1"/>
      <c r="M1165" s="1"/>
      <c r="N1165" t="s">
        <v>1241</v>
      </c>
    </row>
    <row r="1166" spans="1:14">
      <c r="A1166" s="1" t="s">
        <v>1907</v>
      </c>
      <c r="B1166" s="1" t="s">
        <v>1908</v>
      </c>
      <c r="C1166" s="1" t="s">
        <v>1136</v>
      </c>
      <c r="D1166" s="1" t="s">
        <v>1148</v>
      </c>
      <c r="E1166" s="1" t="s">
        <v>1091</v>
      </c>
      <c r="F1166" s="1" t="s">
        <v>1083</v>
      </c>
      <c r="G1166" s="1" t="s">
        <v>1133</v>
      </c>
      <c r="H1166">
        <v>45</v>
      </c>
      <c r="I1166">
        <v>41033</v>
      </c>
      <c r="J1166">
        <v>104162</v>
      </c>
      <c r="K1166">
        <v>0.09</v>
      </c>
      <c r="L1166" s="1"/>
      <c r="M1166" s="1"/>
      <c r="N1166" t="s">
        <v>1241</v>
      </c>
    </row>
    <row r="1167" spans="1:14">
      <c r="A1167" s="1" t="s">
        <v>1909</v>
      </c>
      <c r="B1167" s="1" t="s">
        <v>1910</v>
      </c>
      <c r="C1167" s="1" t="s">
        <v>1364</v>
      </c>
      <c r="D1167" s="1" t="s">
        <v>1208</v>
      </c>
      <c r="E1167" s="1" t="s">
        <v>1121</v>
      </c>
      <c r="F1167" s="1" t="s">
        <v>1083</v>
      </c>
      <c r="G1167" s="1" t="s">
        <v>1084</v>
      </c>
      <c r="H1167">
        <v>29</v>
      </c>
      <c r="I1167" t="s">
        <v>1911</v>
      </c>
      <c r="J1167">
        <v>86226</v>
      </c>
      <c r="K1167">
        <v>0</v>
      </c>
      <c r="L1167" s="1"/>
      <c r="M1167" s="1"/>
      <c r="N1167" t="s">
        <v>1241</v>
      </c>
    </row>
    <row r="1168" spans="1:14">
      <c r="A1168" s="1" t="s">
        <v>1912</v>
      </c>
      <c r="B1168" s="1" t="s">
        <v>1913</v>
      </c>
      <c r="C1168" s="1" t="s">
        <v>1110</v>
      </c>
      <c r="D1168" s="1" t="s">
        <v>1148</v>
      </c>
      <c r="E1168" s="1" t="s">
        <v>1121</v>
      </c>
      <c r="F1168" s="1" t="s">
        <v>1105</v>
      </c>
      <c r="G1168" s="1" t="s">
        <v>1106</v>
      </c>
      <c r="H1168">
        <v>45</v>
      </c>
      <c r="I1168" t="s">
        <v>1914</v>
      </c>
      <c r="J1168">
        <v>172206</v>
      </c>
      <c r="K1168">
        <v>0.28999999999999998</v>
      </c>
      <c r="L1168" s="1"/>
      <c r="M1168" s="1"/>
      <c r="N1168" t="s">
        <v>1241</v>
      </c>
    </row>
    <row r="1169" spans="1:14">
      <c r="A1169" s="1" t="s">
        <v>1915</v>
      </c>
      <c r="B1169" s="1" t="s">
        <v>1916</v>
      </c>
      <c r="C1169" s="1" t="s">
        <v>1384</v>
      </c>
      <c r="D1169" s="1" t="s">
        <v>1208</v>
      </c>
      <c r="E1169" s="1" t="s">
        <v>1121</v>
      </c>
      <c r="F1169" s="1" t="s">
        <v>1083</v>
      </c>
      <c r="G1169" s="1" t="s">
        <v>1106</v>
      </c>
      <c r="H1169">
        <v>34</v>
      </c>
      <c r="I1169">
        <v>41064</v>
      </c>
      <c r="J1169">
        <v>55985</v>
      </c>
      <c r="K1169">
        <v>0</v>
      </c>
      <c r="L1169" s="1"/>
      <c r="M1169" s="1"/>
      <c r="N1169" t="s">
        <v>1241</v>
      </c>
    </row>
    <row r="1170" spans="1:14">
      <c r="A1170" s="1" t="s">
        <v>1917</v>
      </c>
      <c r="B1170" s="1" t="s">
        <v>1918</v>
      </c>
      <c r="C1170" s="1" t="s">
        <v>1173</v>
      </c>
      <c r="D1170" s="1" t="s">
        <v>1097</v>
      </c>
      <c r="E1170" s="1" t="s">
        <v>1091</v>
      </c>
      <c r="F1170" s="1" t="s">
        <v>1083</v>
      </c>
      <c r="G1170" s="1" t="s">
        <v>1106</v>
      </c>
      <c r="H1170">
        <v>26</v>
      </c>
      <c r="I1170">
        <v>44353</v>
      </c>
      <c r="J1170">
        <v>61481</v>
      </c>
      <c r="K1170">
        <v>0</v>
      </c>
      <c r="L1170" s="1"/>
      <c r="M1170" s="1"/>
      <c r="N1170" t="s">
        <v>1241</v>
      </c>
    </row>
    <row r="1171" spans="1:14">
      <c r="A1171" s="1" t="s">
        <v>1919</v>
      </c>
      <c r="B1171" s="1" t="s">
        <v>1920</v>
      </c>
      <c r="C1171" s="1" t="s">
        <v>1136</v>
      </c>
      <c r="D1171" s="1" t="s">
        <v>1090</v>
      </c>
      <c r="E1171" s="1" t="s">
        <v>1098</v>
      </c>
      <c r="F1171" s="1" t="s">
        <v>1105</v>
      </c>
      <c r="G1171" s="1" t="s">
        <v>1106</v>
      </c>
      <c r="H1171">
        <v>30</v>
      </c>
      <c r="I1171" t="s">
        <v>1921</v>
      </c>
      <c r="J1171">
        <v>124295</v>
      </c>
      <c r="K1171">
        <v>7.0000000000000007E-2</v>
      </c>
      <c r="L1171" s="1"/>
      <c r="M1171" s="1"/>
      <c r="N1171" t="s">
        <v>1241</v>
      </c>
    </row>
    <row r="1172" spans="1:14">
      <c r="A1172" s="1" t="s">
        <v>1922</v>
      </c>
      <c r="B1172" s="1" t="s">
        <v>1923</v>
      </c>
      <c r="C1172" s="1" t="s">
        <v>1152</v>
      </c>
      <c r="D1172" s="1" t="s">
        <v>1090</v>
      </c>
      <c r="E1172" s="1" t="s">
        <v>1098</v>
      </c>
      <c r="F1172" s="1" t="s">
        <v>1105</v>
      </c>
      <c r="G1172" s="1" t="s">
        <v>1084</v>
      </c>
      <c r="H1172">
        <v>55</v>
      </c>
      <c r="I1172">
        <v>36374</v>
      </c>
      <c r="J1172">
        <v>132894</v>
      </c>
      <c r="K1172">
        <v>0.15</v>
      </c>
      <c r="L1172" s="1"/>
      <c r="M1172" s="1"/>
      <c r="N1172" t="s">
        <v>1241</v>
      </c>
    </row>
    <row r="1173" spans="1:14">
      <c r="A1173" s="1" t="s">
        <v>1924</v>
      </c>
      <c r="B1173" s="1" t="s">
        <v>1925</v>
      </c>
      <c r="C1173" s="1" t="s">
        <v>1294</v>
      </c>
      <c r="D1173" s="1" t="s">
        <v>1097</v>
      </c>
      <c r="E1173" s="1" t="s">
        <v>1091</v>
      </c>
      <c r="F1173" s="1" t="s">
        <v>1083</v>
      </c>
      <c r="G1173" s="1" t="s">
        <v>1084</v>
      </c>
      <c r="H1173">
        <v>47</v>
      </c>
      <c r="I1173" t="s">
        <v>1926</v>
      </c>
      <c r="J1173">
        <v>88839</v>
      </c>
      <c r="K1173">
        <v>0.05</v>
      </c>
      <c r="L1173" s="1"/>
      <c r="M1173" s="1"/>
      <c r="N1173" t="s">
        <v>1241</v>
      </c>
    </row>
    <row r="1174" spans="1:14">
      <c r="A1174" s="1" t="s">
        <v>1927</v>
      </c>
      <c r="B1174" s="1" t="s">
        <v>1928</v>
      </c>
      <c r="C1174" s="1" t="s">
        <v>1318</v>
      </c>
      <c r="D1174" s="1" t="s">
        <v>1081</v>
      </c>
      <c r="E1174" s="1" t="s">
        <v>1082</v>
      </c>
      <c r="F1174" s="1" t="s">
        <v>1083</v>
      </c>
      <c r="G1174" s="1" t="s">
        <v>1106</v>
      </c>
      <c r="H1174">
        <v>51</v>
      </c>
      <c r="I1174" t="s">
        <v>1929</v>
      </c>
      <c r="J1174">
        <v>78107</v>
      </c>
      <c r="K1174">
        <v>0</v>
      </c>
      <c r="L1174" s="1"/>
      <c r="M1174" s="1"/>
      <c r="N1174" t="s">
        <v>1241</v>
      </c>
    </row>
    <row r="1175" spans="1:14">
      <c r="A1175" s="1" t="s">
        <v>1078</v>
      </c>
      <c r="B1175" s="1" t="s">
        <v>1079</v>
      </c>
      <c r="C1175" s="1" t="s">
        <v>1080</v>
      </c>
      <c r="D1175" s="1" t="s">
        <v>1081</v>
      </c>
      <c r="E1175" s="1" t="s">
        <v>1082</v>
      </c>
      <c r="F1175" s="1" t="s">
        <v>1083</v>
      </c>
      <c r="G1175" s="1" t="s">
        <v>1084</v>
      </c>
      <c r="H1175">
        <v>47</v>
      </c>
      <c r="I1175">
        <v>44683</v>
      </c>
      <c r="J1175">
        <v>92368</v>
      </c>
      <c r="K1175">
        <v>0</v>
      </c>
      <c r="L1175" s="1"/>
      <c r="M1175" s="1"/>
      <c r="N1175" t="s">
        <v>1241</v>
      </c>
    </row>
    <row r="1176" spans="1:14">
      <c r="A1176" s="1" t="s">
        <v>1087</v>
      </c>
      <c r="B1176" s="1" t="s">
        <v>1088</v>
      </c>
      <c r="C1176" s="1" t="s">
        <v>1089</v>
      </c>
      <c r="D1176" s="1" t="s">
        <v>1090</v>
      </c>
      <c r="E1176" s="1" t="s">
        <v>1091</v>
      </c>
      <c r="F1176" s="1" t="s">
        <v>1083</v>
      </c>
      <c r="G1176" s="1" t="s">
        <v>1084</v>
      </c>
      <c r="H1176">
        <v>58</v>
      </c>
      <c r="I1176" t="s">
        <v>1092</v>
      </c>
      <c r="J1176">
        <v>45703</v>
      </c>
      <c r="K1176">
        <v>0</v>
      </c>
      <c r="L1176" s="1"/>
      <c r="M1176" s="1"/>
      <c r="N1176" t="s">
        <v>1241</v>
      </c>
    </row>
    <row r="1177" spans="1:14">
      <c r="A1177" s="1" t="s">
        <v>1094</v>
      </c>
      <c r="B1177" s="1" t="s">
        <v>1095</v>
      </c>
      <c r="C1177" s="1" t="s">
        <v>1096</v>
      </c>
      <c r="D1177" s="1" t="s">
        <v>1097</v>
      </c>
      <c r="E1177" s="1" t="s">
        <v>1098</v>
      </c>
      <c r="F1177" s="1" t="s">
        <v>1083</v>
      </c>
      <c r="G1177" s="1" t="s">
        <v>1084</v>
      </c>
      <c r="H1177">
        <v>34</v>
      </c>
      <c r="I1177" t="s">
        <v>1099</v>
      </c>
      <c r="J1177">
        <v>83576</v>
      </c>
      <c r="K1177">
        <v>0</v>
      </c>
      <c r="L1177" s="1"/>
      <c r="M1177" s="1"/>
      <c r="N1177" t="s">
        <v>1241</v>
      </c>
    </row>
    <row r="1178" spans="1:14">
      <c r="A1178" s="1" t="s">
        <v>1102</v>
      </c>
      <c r="B1178" s="1" t="s">
        <v>1103</v>
      </c>
      <c r="C1178" s="1" t="s">
        <v>1104</v>
      </c>
      <c r="D1178" s="1" t="s">
        <v>1097</v>
      </c>
      <c r="E1178" s="1" t="s">
        <v>1091</v>
      </c>
      <c r="F1178" s="1" t="s">
        <v>1105</v>
      </c>
      <c r="G1178" s="1" t="s">
        <v>1106</v>
      </c>
      <c r="H1178">
        <v>39</v>
      </c>
      <c r="I1178">
        <v>43285</v>
      </c>
      <c r="J1178">
        <v>98062</v>
      </c>
      <c r="K1178">
        <v>0</v>
      </c>
      <c r="L1178" s="1"/>
      <c r="M1178" s="1"/>
      <c r="N1178" t="s">
        <v>1241</v>
      </c>
    </row>
    <row r="1179" spans="1:14">
      <c r="A1179" s="1" t="s">
        <v>1108</v>
      </c>
      <c r="B1179" s="1" t="s">
        <v>1109</v>
      </c>
      <c r="C1179" s="1" t="s">
        <v>1110</v>
      </c>
      <c r="D1179" s="1" t="s">
        <v>1081</v>
      </c>
      <c r="E1179" s="1" t="s">
        <v>1091</v>
      </c>
      <c r="F1179" s="1" t="s">
        <v>1105</v>
      </c>
      <c r="G1179" s="1" t="s">
        <v>1106</v>
      </c>
      <c r="H1179">
        <v>42</v>
      </c>
      <c r="I1179" t="s">
        <v>1111</v>
      </c>
      <c r="J1179">
        <v>175391</v>
      </c>
      <c r="K1179">
        <v>0.24</v>
      </c>
      <c r="L1179" s="1"/>
      <c r="M1179" s="1"/>
      <c r="N1179" t="s">
        <v>1241</v>
      </c>
    </row>
    <row r="1180" spans="1:14">
      <c r="A1180" s="1" t="s">
        <v>1113</v>
      </c>
      <c r="B1180" s="1" t="s">
        <v>1114</v>
      </c>
      <c r="C1180" s="1" t="s">
        <v>1096</v>
      </c>
      <c r="D1180" s="1" t="s">
        <v>1097</v>
      </c>
      <c r="E1180" s="1" t="s">
        <v>1082</v>
      </c>
      <c r="F1180" s="1" t="s">
        <v>1083</v>
      </c>
      <c r="G1180" s="1" t="s">
        <v>1084</v>
      </c>
      <c r="H1180">
        <v>62</v>
      </c>
      <c r="I1180" t="s">
        <v>1115</v>
      </c>
      <c r="J1180">
        <v>66227</v>
      </c>
      <c r="K1180">
        <v>0</v>
      </c>
      <c r="L1180" s="1"/>
      <c r="M1180" s="1"/>
      <c r="N1180" t="s">
        <v>1241</v>
      </c>
    </row>
    <row r="1181" spans="1:14">
      <c r="A1181" s="1" t="s">
        <v>1117</v>
      </c>
      <c r="B1181" s="1" t="s">
        <v>1118</v>
      </c>
      <c r="C1181" s="1" t="s">
        <v>1119</v>
      </c>
      <c r="D1181" s="1" t="s">
        <v>1120</v>
      </c>
      <c r="E1181" s="1" t="s">
        <v>1121</v>
      </c>
      <c r="F1181" s="1" t="s">
        <v>1105</v>
      </c>
      <c r="G1181" s="1" t="s">
        <v>1084</v>
      </c>
      <c r="H1181">
        <v>58</v>
      </c>
      <c r="I1181" t="s">
        <v>1122</v>
      </c>
      <c r="J1181">
        <v>89744</v>
      </c>
      <c r="K1181">
        <v>0</v>
      </c>
      <c r="L1181" s="1"/>
      <c r="M1181" s="1"/>
      <c r="N1181" t="s">
        <v>1241</v>
      </c>
    </row>
    <row r="1182" spans="1:14">
      <c r="A1182" s="1" t="s">
        <v>1124</v>
      </c>
      <c r="B1182" s="1" t="s">
        <v>1125</v>
      </c>
      <c r="C1182" s="1" t="s">
        <v>1126</v>
      </c>
      <c r="D1182" s="1" t="s">
        <v>1127</v>
      </c>
      <c r="E1182" s="1" t="s">
        <v>1091</v>
      </c>
      <c r="F1182" s="1" t="s">
        <v>1083</v>
      </c>
      <c r="G1182" s="1" t="s">
        <v>1084</v>
      </c>
      <c r="H1182">
        <v>62</v>
      </c>
      <c r="I1182" t="s">
        <v>1128</v>
      </c>
      <c r="J1182">
        <v>69674</v>
      </c>
      <c r="K1182">
        <v>0</v>
      </c>
      <c r="L1182" s="1"/>
      <c r="M1182" s="1"/>
      <c r="N1182" t="s">
        <v>1241</v>
      </c>
    </row>
    <row r="1183" spans="1:14">
      <c r="A1183" s="1" t="s">
        <v>1130</v>
      </c>
      <c r="B1183" s="1" t="s">
        <v>1131</v>
      </c>
      <c r="C1183" s="1" t="s">
        <v>1132</v>
      </c>
      <c r="D1183" s="1" t="s">
        <v>1097</v>
      </c>
      <c r="E1183" s="1" t="s">
        <v>1082</v>
      </c>
      <c r="F1183" s="1" t="s">
        <v>1105</v>
      </c>
      <c r="G1183" s="1" t="s">
        <v>1133</v>
      </c>
      <c r="H1183">
        <v>38</v>
      </c>
      <c r="I1183">
        <v>40795</v>
      </c>
      <c r="J1183">
        <v>97630</v>
      </c>
      <c r="K1183">
        <v>0</v>
      </c>
      <c r="L1183" s="1"/>
      <c r="M1183" s="1"/>
      <c r="N1183" t="s">
        <v>1241</v>
      </c>
    </row>
    <row r="1184" spans="1:14">
      <c r="A1184" s="1" t="s">
        <v>1134</v>
      </c>
      <c r="B1184" s="1" t="s">
        <v>1135</v>
      </c>
      <c r="C1184" s="1" t="s">
        <v>1136</v>
      </c>
      <c r="D1184" s="1" t="s">
        <v>1127</v>
      </c>
      <c r="E1184" s="1" t="s">
        <v>1121</v>
      </c>
      <c r="F1184" s="1" t="s">
        <v>1083</v>
      </c>
      <c r="G1184" s="1" t="s">
        <v>1133</v>
      </c>
      <c r="H1184">
        <v>52</v>
      </c>
      <c r="I1184">
        <v>42126</v>
      </c>
      <c r="J1184">
        <v>105879</v>
      </c>
      <c r="K1184">
        <v>0.1</v>
      </c>
      <c r="L1184" s="1"/>
      <c r="M1184" s="1"/>
      <c r="N1184" t="s">
        <v>1241</v>
      </c>
    </row>
    <row r="1185" spans="1:14">
      <c r="A1185" s="1" t="s">
        <v>1138</v>
      </c>
      <c r="B1185" s="1" t="s">
        <v>1139</v>
      </c>
      <c r="C1185" s="1" t="s">
        <v>1140</v>
      </c>
      <c r="D1185" s="1" t="s">
        <v>1097</v>
      </c>
      <c r="E1185" s="1" t="s">
        <v>1082</v>
      </c>
      <c r="F1185" s="1" t="s">
        <v>1083</v>
      </c>
      <c r="G1185" s="1" t="s">
        <v>1106</v>
      </c>
      <c r="H1185">
        <v>49</v>
      </c>
      <c r="I1185">
        <v>37965</v>
      </c>
      <c r="J1185">
        <v>40499</v>
      </c>
      <c r="K1185">
        <v>0</v>
      </c>
      <c r="L1185" s="1"/>
      <c r="M1185" s="1"/>
      <c r="N1185" t="s">
        <v>1241</v>
      </c>
    </row>
    <row r="1186" spans="1:14">
      <c r="A1186" s="1" t="s">
        <v>1141</v>
      </c>
      <c r="B1186" s="1" t="s">
        <v>1142</v>
      </c>
      <c r="C1186" s="1" t="s">
        <v>1119</v>
      </c>
      <c r="D1186" s="1" t="s">
        <v>1127</v>
      </c>
      <c r="E1186" s="1" t="s">
        <v>1121</v>
      </c>
      <c r="F1186" s="1" t="s">
        <v>1105</v>
      </c>
      <c r="G1186" s="1" t="s">
        <v>1084</v>
      </c>
      <c r="H1186">
        <v>63</v>
      </c>
      <c r="I1186">
        <v>41706</v>
      </c>
      <c r="J1186">
        <v>71418</v>
      </c>
      <c r="K1186">
        <v>0</v>
      </c>
      <c r="L1186" s="1"/>
      <c r="M1186" s="1"/>
      <c r="N1186" t="s">
        <v>1241</v>
      </c>
    </row>
    <row r="1187" spans="1:14">
      <c r="A1187" s="1" t="s">
        <v>1143</v>
      </c>
      <c r="B1187" s="1" t="s">
        <v>1144</v>
      </c>
      <c r="C1187" s="1" t="s">
        <v>1110</v>
      </c>
      <c r="D1187" s="1" t="s">
        <v>1097</v>
      </c>
      <c r="E1187" s="1" t="s">
        <v>1082</v>
      </c>
      <c r="F1187" s="1" t="s">
        <v>1083</v>
      </c>
      <c r="G1187" s="1" t="s">
        <v>1084</v>
      </c>
      <c r="H1187">
        <v>45</v>
      </c>
      <c r="I1187" t="s">
        <v>1145</v>
      </c>
      <c r="J1187">
        <v>150558</v>
      </c>
      <c r="K1187">
        <v>0.23</v>
      </c>
      <c r="L1187" s="1"/>
      <c r="M1187" s="1"/>
      <c r="N1187" t="s">
        <v>1241</v>
      </c>
    </row>
    <row r="1188" spans="1:14">
      <c r="A1188" s="1" t="s">
        <v>1146</v>
      </c>
      <c r="B1188" s="1" t="s">
        <v>1147</v>
      </c>
      <c r="C1188" s="1" t="s">
        <v>1136</v>
      </c>
      <c r="D1188" s="1" t="s">
        <v>1148</v>
      </c>
      <c r="E1188" s="1" t="s">
        <v>1091</v>
      </c>
      <c r="F1188" s="1" t="s">
        <v>1083</v>
      </c>
      <c r="G1188" s="1" t="s">
        <v>1133</v>
      </c>
      <c r="H1188">
        <v>36</v>
      </c>
      <c r="I1188" t="s">
        <v>1149</v>
      </c>
      <c r="J1188">
        <v>118912</v>
      </c>
      <c r="K1188">
        <v>0.08</v>
      </c>
      <c r="L1188" s="1"/>
      <c r="M1188" s="1"/>
      <c r="N1188" t="s">
        <v>1241</v>
      </c>
    </row>
    <row r="1189" spans="1:14">
      <c r="A1189" s="1" t="s">
        <v>1150</v>
      </c>
      <c r="B1189" s="1" t="s">
        <v>1151</v>
      </c>
      <c r="C1189" s="1" t="s">
        <v>1152</v>
      </c>
      <c r="D1189" s="1" t="s">
        <v>1148</v>
      </c>
      <c r="E1189" s="1" t="s">
        <v>1091</v>
      </c>
      <c r="F1189" s="1" t="s">
        <v>1083</v>
      </c>
      <c r="G1189" s="1" t="s">
        <v>1153</v>
      </c>
      <c r="H1189">
        <v>42</v>
      </c>
      <c r="I1189" t="s">
        <v>1154</v>
      </c>
      <c r="J1189">
        <v>131422</v>
      </c>
      <c r="K1189">
        <v>0.15</v>
      </c>
      <c r="L1189" s="1"/>
      <c r="M1189" s="1"/>
      <c r="N1189" t="s">
        <v>1241</v>
      </c>
    </row>
    <row r="1190" spans="1:14">
      <c r="A1190" s="1" t="s">
        <v>1155</v>
      </c>
      <c r="B1190" s="1" t="s">
        <v>1156</v>
      </c>
      <c r="C1190" s="1" t="s">
        <v>1104</v>
      </c>
      <c r="D1190" s="1" t="s">
        <v>1097</v>
      </c>
      <c r="E1190" s="1" t="s">
        <v>1091</v>
      </c>
      <c r="F1190" s="1" t="s">
        <v>1105</v>
      </c>
      <c r="G1190" s="1" t="s">
        <v>1084</v>
      </c>
      <c r="H1190">
        <v>62</v>
      </c>
      <c r="I1190" t="s">
        <v>1157</v>
      </c>
      <c r="J1190">
        <v>64208</v>
      </c>
      <c r="K1190">
        <v>0</v>
      </c>
      <c r="L1190" s="1"/>
      <c r="M1190" s="1"/>
      <c r="N1190" t="s">
        <v>1241</v>
      </c>
    </row>
    <row r="1191" spans="1:14">
      <c r="A1191" s="1" t="s">
        <v>1158</v>
      </c>
      <c r="B1191" s="1" t="s">
        <v>1159</v>
      </c>
      <c r="C1191" s="1" t="s">
        <v>1160</v>
      </c>
      <c r="D1191" s="1" t="s">
        <v>1081</v>
      </c>
      <c r="E1191" s="1" t="s">
        <v>1121</v>
      </c>
      <c r="F1191" s="1" t="s">
        <v>1105</v>
      </c>
      <c r="G1191" s="1" t="s">
        <v>1084</v>
      </c>
      <c r="H1191">
        <v>45</v>
      </c>
      <c r="I1191">
        <v>40306</v>
      </c>
      <c r="J1191">
        <v>254486</v>
      </c>
      <c r="K1191">
        <v>0.33</v>
      </c>
      <c r="L1191" s="1"/>
      <c r="M1191" s="1"/>
      <c r="N1191" t="s">
        <v>1241</v>
      </c>
    </row>
    <row r="1192" spans="1:14">
      <c r="A1192" s="1" t="s">
        <v>1161</v>
      </c>
      <c r="B1192" s="1" t="s">
        <v>1162</v>
      </c>
      <c r="C1192" s="1" t="s">
        <v>1089</v>
      </c>
      <c r="D1192" s="1" t="s">
        <v>1090</v>
      </c>
      <c r="E1192" s="1" t="s">
        <v>1121</v>
      </c>
      <c r="F1192" s="1" t="s">
        <v>1105</v>
      </c>
      <c r="G1192" s="1" t="s">
        <v>1084</v>
      </c>
      <c r="H1192">
        <v>61</v>
      </c>
      <c r="I1192">
        <v>43527</v>
      </c>
      <c r="J1192">
        <v>54811</v>
      </c>
      <c r="K1192">
        <v>0</v>
      </c>
      <c r="L1192" s="1"/>
      <c r="M1192" s="1"/>
      <c r="N1192" t="s">
        <v>1241</v>
      </c>
    </row>
    <row r="1193" spans="1:14">
      <c r="A1193" s="1" t="s">
        <v>1163</v>
      </c>
      <c r="B1193" s="1" t="s">
        <v>1164</v>
      </c>
      <c r="C1193" s="1" t="s">
        <v>1165</v>
      </c>
      <c r="D1193" s="1" t="s">
        <v>1097</v>
      </c>
      <c r="E1193" s="1" t="s">
        <v>1121</v>
      </c>
      <c r="F1193" s="1" t="s">
        <v>1083</v>
      </c>
      <c r="G1193" s="1" t="s">
        <v>1084</v>
      </c>
      <c r="H1193">
        <v>29</v>
      </c>
      <c r="I1193">
        <v>43050</v>
      </c>
      <c r="J1193">
        <v>95729</v>
      </c>
      <c r="K1193">
        <v>0</v>
      </c>
      <c r="L1193" s="1"/>
      <c r="M1193" s="1"/>
      <c r="N1193" t="s">
        <v>1241</v>
      </c>
    </row>
    <row r="1194" spans="1:14">
      <c r="A1194" s="1" t="s">
        <v>1166</v>
      </c>
      <c r="B1194" s="1" t="s">
        <v>1167</v>
      </c>
      <c r="C1194" s="1" t="s">
        <v>1136</v>
      </c>
      <c r="D1194" s="1" t="s">
        <v>1120</v>
      </c>
      <c r="E1194" s="1" t="s">
        <v>1121</v>
      </c>
      <c r="F1194" s="1" t="s">
        <v>1105</v>
      </c>
      <c r="G1194" s="1" t="s">
        <v>1106</v>
      </c>
      <c r="H1194">
        <v>63</v>
      </c>
      <c r="I1194">
        <v>40027</v>
      </c>
      <c r="J1194">
        <v>102649</v>
      </c>
      <c r="K1194">
        <v>0.06</v>
      </c>
      <c r="L1194" s="1"/>
      <c r="M1194" s="1"/>
      <c r="N1194" t="s">
        <v>1241</v>
      </c>
    </row>
    <row r="1195" spans="1:14">
      <c r="A1195" s="1" t="s">
        <v>1168</v>
      </c>
      <c r="B1195" s="1" t="s">
        <v>1169</v>
      </c>
      <c r="C1195" s="1" t="s">
        <v>1152</v>
      </c>
      <c r="D1195" s="1" t="s">
        <v>1120</v>
      </c>
      <c r="E1195" s="1" t="s">
        <v>1121</v>
      </c>
      <c r="F1195" s="1" t="s">
        <v>1083</v>
      </c>
      <c r="G1195" s="1" t="s">
        <v>1084</v>
      </c>
      <c r="H1195">
        <v>45</v>
      </c>
      <c r="I1195" t="s">
        <v>1170</v>
      </c>
      <c r="J1195">
        <v>122875</v>
      </c>
      <c r="K1195">
        <v>0.12</v>
      </c>
      <c r="L1195" s="1"/>
      <c r="M1195" s="1"/>
      <c r="N1195" t="s">
        <v>1241</v>
      </c>
    </row>
    <row r="1196" spans="1:14">
      <c r="A1196" s="1" t="s">
        <v>1171</v>
      </c>
      <c r="B1196" s="1" t="s">
        <v>1172</v>
      </c>
      <c r="C1196" s="1" t="s">
        <v>1173</v>
      </c>
      <c r="D1196" s="1" t="s">
        <v>1097</v>
      </c>
      <c r="E1196" s="1" t="s">
        <v>1098</v>
      </c>
      <c r="F1196" s="1" t="s">
        <v>1105</v>
      </c>
      <c r="G1196" s="1" t="s">
        <v>1153</v>
      </c>
      <c r="H1196">
        <v>43</v>
      </c>
      <c r="I1196" t="s">
        <v>1174</v>
      </c>
      <c r="J1196">
        <v>83323</v>
      </c>
      <c r="K1196">
        <v>0</v>
      </c>
      <c r="L1196" s="1"/>
      <c r="M1196" s="1"/>
      <c r="N1196" t="s">
        <v>1241</v>
      </c>
    </row>
    <row r="1197" spans="1:14">
      <c r="A1197" s="1" t="s">
        <v>1175</v>
      </c>
      <c r="B1197" s="1" t="s">
        <v>1176</v>
      </c>
      <c r="C1197" s="1" t="s">
        <v>1177</v>
      </c>
      <c r="D1197" s="1" t="s">
        <v>1090</v>
      </c>
      <c r="E1197" s="1" t="s">
        <v>1082</v>
      </c>
      <c r="F1197" s="1" t="s">
        <v>1105</v>
      </c>
      <c r="G1197" s="1" t="s">
        <v>1084</v>
      </c>
      <c r="H1197">
        <v>31</v>
      </c>
      <c r="I1197" t="s">
        <v>1178</v>
      </c>
      <c r="J1197">
        <v>66721</v>
      </c>
      <c r="K1197">
        <v>0</v>
      </c>
      <c r="L1197" s="1"/>
      <c r="M1197" s="1"/>
      <c r="N1197" t="s">
        <v>1241</v>
      </c>
    </row>
    <row r="1198" spans="1:14">
      <c r="A1198" s="1" t="s">
        <v>1179</v>
      </c>
      <c r="B1198" s="1" t="s">
        <v>1180</v>
      </c>
      <c r="C1198" s="1" t="s">
        <v>1160</v>
      </c>
      <c r="D1198" s="1" t="s">
        <v>1120</v>
      </c>
      <c r="E1198" s="1" t="s">
        <v>1121</v>
      </c>
      <c r="F1198" s="1" t="s">
        <v>1083</v>
      </c>
      <c r="G1198" s="1" t="s">
        <v>1084</v>
      </c>
      <c r="H1198">
        <v>48</v>
      </c>
      <c r="I1198" t="s">
        <v>1181</v>
      </c>
      <c r="J1198">
        <v>246400</v>
      </c>
      <c r="K1198">
        <v>0.36</v>
      </c>
      <c r="L1198" s="1"/>
      <c r="M1198" s="1"/>
      <c r="N1198" t="s">
        <v>1241</v>
      </c>
    </row>
    <row r="1199" spans="1:14">
      <c r="A1199" s="1" t="s">
        <v>1182</v>
      </c>
      <c r="B1199" s="1" t="s">
        <v>1183</v>
      </c>
      <c r="C1199" s="1" t="s">
        <v>1136</v>
      </c>
      <c r="D1199" s="1" t="s">
        <v>1090</v>
      </c>
      <c r="E1199" s="1" t="s">
        <v>1121</v>
      </c>
      <c r="F1199" s="1" t="s">
        <v>1083</v>
      </c>
      <c r="G1199" s="1" t="s">
        <v>1133</v>
      </c>
      <c r="H1199">
        <v>55</v>
      </c>
      <c r="I1199" t="s">
        <v>1184</v>
      </c>
      <c r="J1199">
        <v>113525</v>
      </c>
      <c r="K1199">
        <v>0.06</v>
      </c>
      <c r="L1199" s="1"/>
      <c r="M1199" s="1"/>
      <c r="N1199" t="s">
        <v>1241</v>
      </c>
    </row>
    <row r="1200" spans="1:14">
      <c r="A1200" s="1" t="s">
        <v>3427</v>
      </c>
      <c r="B1200" s="1" t="s">
        <v>3428</v>
      </c>
      <c r="C1200" s="1" t="s">
        <v>1213</v>
      </c>
      <c r="D1200" s="1" t="s">
        <v>1208</v>
      </c>
      <c r="E1200" s="1" t="s">
        <v>1121</v>
      </c>
      <c r="F1200" s="1" t="s">
        <v>1105</v>
      </c>
      <c r="G1200" s="1" t="s">
        <v>1084</v>
      </c>
      <c r="H1200">
        <v>49</v>
      </c>
      <c r="I1200" t="s">
        <v>3429</v>
      </c>
      <c r="J1200">
        <v>52292</v>
      </c>
      <c r="K1200">
        <v>0</v>
      </c>
      <c r="L1200" s="1" t="s">
        <v>1100</v>
      </c>
      <c r="M1200" s="1" t="s">
        <v>1129</v>
      </c>
      <c r="N1200" t="s">
        <v>1241</v>
      </c>
    </row>
    <row r="1201" spans="1:14">
      <c r="A1201" s="1" t="s">
        <v>3430</v>
      </c>
      <c r="B1201" s="1" t="s">
        <v>3431</v>
      </c>
      <c r="C1201" s="1" t="s">
        <v>1152</v>
      </c>
      <c r="D1201" s="1" t="s">
        <v>1208</v>
      </c>
      <c r="E1201" s="1" t="s">
        <v>1091</v>
      </c>
      <c r="F1201" s="1" t="s">
        <v>1105</v>
      </c>
      <c r="G1201" s="1" t="s">
        <v>1133</v>
      </c>
      <c r="H1201">
        <v>53</v>
      </c>
      <c r="I1201" t="s">
        <v>3432</v>
      </c>
      <c r="J1201">
        <v>69110</v>
      </c>
      <c r="K1201">
        <v>0</v>
      </c>
      <c r="L1201" s="1" t="s">
        <v>1085</v>
      </c>
      <c r="M1201" s="1" t="s">
        <v>1107</v>
      </c>
      <c r="N1201" t="s">
        <v>1241</v>
      </c>
    </row>
    <row r="1202" spans="1:14">
      <c r="A1202" s="1" t="s">
        <v>3149</v>
      </c>
      <c r="B1202" s="1" t="s">
        <v>3150</v>
      </c>
      <c r="C1202" s="1" t="s">
        <v>1173</v>
      </c>
      <c r="D1202" s="1" t="s">
        <v>1097</v>
      </c>
      <c r="E1202" s="1" t="s">
        <v>1082</v>
      </c>
      <c r="F1202" s="1" t="s">
        <v>1105</v>
      </c>
      <c r="G1202" s="1" t="s">
        <v>1106</v>
      </c>
      <c r="H1202">
        <v>38</v>
      </c>
      <c r="I1202" t="s">
        <v>3151</v>
      </c>
      <c r="J1202">
        <v>68676</v>
      </c>
      <c r="K1202">
        <v>0</v>
      </c>
      <c r="L1202" s="1" t="s">
        <v>1221</v>
      </c>
      <c r="M1202" s="1" t="s">
        <v>1298</v>
      </c>
      <c r="N1202" t="s">
        <v>1241</v>
      </c>
    </row>
    <row r="1203" spans="1:14">
      <c r="A1203" s="1" t="s">
        <v>3152</v>
      </c>
      <c r="B1203" s="1" t="s">
        <v>3153</v>
      </c>
      <c r="C1203" s="1" t="s">
        <v>1216</v>
      </c>
      <c r="D1203" s="1" t="s">
        <v>1081</v>
      </c>
      <c r="E1203" s="1" t="s">
        <v>1082</v>
      </c>
      <c r="F1203" s="1" t="s">
        <v>1105</v>
      </c>
      <c r="G1203" s="1" t="s">
        <v>1133</v>
      </c>
      <c r="H1203">
        <v>58</v>
      </c>
      <c r="I1203" t="s">
        <v>3154</v>
      </c>
      <c r="J1203">
        <v>86094</v>
      </c>
      <c r="K1203">
        <v>0</v>
      </c>
      <c r="L1203" s="1" t="s">
        <v>1085</v>
      </c>
      <c r="M1203" s="1" t="s">
        <v>1086</v>
      </c>
      <c r="N1203" t="s">
        <v>1241</v>
      </c>
    </row>
    <row r="1204" spans="1:14">
      <c r="A1204" s="1" t="s">
        <v>3155</v>
      </c>
      <c r="B1204" s="1" t="s">
        <v>3156</v>
      </c>
      <c r="C1204" s="1" t="s">
        <v>1285</v>
      </c>
      <c r="D1204" s="1" t="s">
        <v>1097</v>
      </c>
      <c r="E1204" s="1" t="s">
        <v>1121</v>
      </c>
      <c r="F1204" s="1" t="s">
        <v>1105</v>
      </c>
      <c r="G1204" s="1" t="s">
        <v>1133</v>
      </c>
      <c r="H1204">
        <v>27</v>
      </c>
      <c r="I1204">
        <v>44717</v>
      </c>
      <c r="J1204">
        <v>77607</v>
      </c>
      <c r="K1204">
        <v>0</v>
      </c>
      <c r="L1204" s="1" t="s">
        <v>1085</v>
      </c>
      <c r="M1204" s="1" t="s">
        <v>1137</v>
      </c>
      <c r="N1204" t="s">
        <v>1241</v>
      </c>
    </row>
    <row r="1205" spans="1:14">
      <c r="A1205" s="1" t="s">
        <v>2442</v>
      </c>
      <c r="B1205" s="1" t="s">
        <v>2443</v>
      </c>
      <c r="C1205" s="1" t="s">
        <v>1152</v>
      </c>
      <c r="D1205" s="1" t="s">
        <v>1097</v>
      </c>
      <c r="E1205" s="1" t="s">
        <v>1121</v>
      </c>
      <c r="F1205" s="1" t="s">
        <v>1083</v>
      </c>
      <c r="G1205" s="1" t="s">
        <v>1133</v>
      </c>
      <c r="H1205">
        <v>44</v>
      </c>
      <c r="I1205" t="s">
        <v>2444</v>
      </c>
      <c r="J1205">
        <v>151481</v>
      </c>
      <c r="K1205">
        <v>0.11</v>
      </c>
      <c r="L1205" s="1" t="s">
        <v>1085</v>
      </c>
      <c r="M1205" s="1" t="s">
        <v>1093</v>
      </c>
      <c r="N1205" t="s">
        <v>1241</v>
      </c>
    </row>
    <row r="1206" spans="1:14">
      <c r="A1206" s="1" t="s">
        <v>2445</v>
      </c>
      <c r="B1206" s="1" t="s">
        <v>2446</v>
      </c>
      <c r="C1206" s="1" t="s">
        <v>1089</v>
      </c>
      <c r="D1206" s="1" t="s">
        <v>1090</v>
      </c>
      <c r="E1206" s="1" t="s">
        <v>1098</v>
      </c>
      <c r="F1206" s="1" t="s">
        <v>1105</v>
      </c>
      <c r="G1206" s="1" t="s">
        <v>1084</v>
      </c>
      <c r="H1206">
        <v>37</v>
      </c>
      <c r="I1206">
        <v>42950</v>
      </c>
      <c r="J1206">
        <v>40508</v>
      </c>
      <c r="K1206">
        <v>0</v>
      </c>
      <c r="L1206" s="1" t="s">
        <v>1100</v>
      </c>
      <c r="M1206" s="1" t="s">
        <v>1188</v>
      </c>
      <c r="N1206" t="s">
        <v>1241</v>
      </c>
    </row>
    <row r="1207" spans="1:14">
      <c r="A1207" s="1" t="s">
        <v>2447</v>
      </c>
      <c r="B1207" s="1" t="s">
        <v>2448</v>
      </c>
      <c r="C1207" s="1" t="s">
        <v>1160</v>
      </c>
      <c r="D1207" s="1" t="s">
        <v>1120</v>
      </c>
      <c r="E1207" s="1" t="s">
        <v>1098</v>
      </c>
      <c r="F1207" s="1" t="s">
        <v>1105</v>
      </c>
      <c r="G1207" s="1" t="s">
        <v>1084</v>
      </c>
      <c r="H1207">
        <v>45</v>
      </c>
      <c r="I1207" t="s">
        <v>2449</v>
      </c>
      <c r="J1207">
        <v>200481</v>
      </c>
      <c r="K1207">
        <v>0.3</v>
      </c>
      <c r="L1207" s="1" t="s">
        <v>1085</v>
      </c>
      <c r="M1207" s="1" t="s">
        <v>1086</v>
      </c>
      <c r="N1207" t="s">
        <v>1241</v>
      </c>
    </row>
    <row r="1208" spans="1:14">
      <c r="A1208" s="1" t="s">
        <v>2450</v>
      </c>
      <c r="B1208" s="1" t="s">
        <v>2451</v>
      </c>
      <c r="C1208" s="1" t="s">
        <v>1160</v>
      </c>
      <c r="D1208" s="1" t="s">
        <v>1127</v>
      </c>
      <c r="E1208" s="1" t="s">
        <v>1082</v>
      </c>
      <c r="F1208" s="1" t="s">
        <v>1105</v>
      </c>
      <c r="G1208" s="1" t="s">
        <v>1106</v>
      </c>
      <c r="H1208">
        <v>65</v>
      </c>
      <c r="I1208" t="s">
        <v>2452</v>
      </c>
      <c r="J1208">
        <v>224872</v>
      </c>
      <c r="K1208">
        <v>0.39</v>
      </c>
      <c r="L1208" s="1" t="s">
        <v>1221</v>
      </c>
      <c r="M1208" s="1" t="s">
        <v>1298</v>
      </c>
      <c r="N1208" t="s">
        <v>1241</v>
      </c>
    </row>
    <row r="1209" spans="1:14">
      <c r="A1209" s="1" t="s">
        <v>2453</v>
      </c>
      <c r="B1209" s="1" t="s">
        <v>2454</v>
      </c>
      <c r="C1209" s="1" t="s">
        <v>1152</v>
      </c>
      <c r="D1209" s="1" t="s">
        <v>1208</v>
      </c>
      <c r="E1209" s="1" t="s">
        <v>1098</v>
      </c>
      <c r="F1209" s="1" t="s">
        <v>1083</v>
      </c>
      <c r="G1209" s="1" t="s">
        <v>1153</v>
      </c>
      <c r="H1209">
        <v>65</v>
      </c>
      <c r="I1209">
        <v>39213</v>
      </c>
      <c r="J1209">
        <v>149474</v>
      </c>
      <c r="K1209">
        <v>0.14000000000000001</v>
      </c>
      <c r="L1209" s="1" t="s">
        <v>1085</v>
      </c>
      <c r="M1209" s="1" t="s">
        <v>1116</v>
      </c>
      <c r="N1209" t="s">
        <v>1241</v>
      </c>
    </row>
    <row r="1210" spans="1:14">
      <c r="A1210" s="1" t="s">
        <v>2455</v>
      </c>
      <c r="B1210" s="1" t="s">
        <v>2456</v>
      </c>
      <c r="C1210" s="1" t="s">
        <v>1216</v>
      </c>
      <c r="D1210" s="1" t="s">
        <v>1081</v>
      </c>
      <c r="E1210" s="1" t="s">
        <v>1098</v>
      </c>
      <c r="F1210" s="1" t="s">
        <v>1105</v>
      </c>
      <c r="G1210" s="1" t="s">
        <v>1106</v>
      </c>
      <c r="H1210">
        <v>63</v>
      </c>
      <c r="I1210" t="s">
        <v>2457</v>
      </c>
      <c r="J1210">
        <v>86820</v>
      </c>
      <c r="K1210">
        <v>0</v>
      </c>
      <c r="L1210" s="1" t="s">
        <v>1085</v>
      </c>
      <c r="M1210" s="1" t="s">
        <v>1093</v>
      </c>
      <c r="N1210" t="s">
        <v>1241</v>
      </c>
    </row>
    <row r="1211" spans="1:14">
      <c r="A1211" s="1" t="s">
        <v>2458</v>
      </c>
      <c r="B1211" s="1" t="s">
        <v>2459</v>
      </c>
      <c r="C1211" s="1" t="s">
        <v>1110</v>
      </c>
      <c r="D1211" s="1" t="s">
        <v>1127</v>
      </c>
      <c r="E1211" s="1" t="s">
        <v>1082</v>
      </c>
      <c r="F1211" s="1" t="s">
        <v>1105</v>
      </c>
      <c r="G1211" s="1" t="s">
        <v>1084</v>
      </c>
      <c r="H1211">
        <v>55</v>
      </c>
      <c r="I1211">
        <v>34557</v>
      </c>
      <c r="J1211">
        <v>184078</v>
      </c>
      <c r="K1211">
        <v>0.28000000000000003</v>
      </c>
      <c r="L1211" s="1" t="s">
        <v>1100</v>
      </c>
      <c r="M1211" s="1" t="s">
        <v>1101</v>
      </c>
      <c r="N1211" t="s">
        <v>1241</v>
      </c>
    </row>
    <row r="1212" spans="1:14">
      <c r="A1212" s="1" t="s">
        <v>2460</v>
      </c>
      <c r="B1212" s="1" t="s">
        <v>2461</v>
      </c>
      <c r="C1212" s="1" t="s">
        <v>1089</v>
      </c>
      <c r="D1212" s="1" t="s">
        <v>1120</v>
      </c>
      <c r="E1212" s="1" t="s">
        <v>1091</v>
      </c>
      <c r="F1212" s="1" t="s">
        <v>1105</v>
      </c>
      <c r="G1212" s="1" t="s">
        <v>1084</v>
      </c>
      <c r="H1212">
        <v>58</v>
      </c>
      <c r="I1212" t="s">
        <v>2462</v>
      </c>
      <c r="J1212">
        <v>55174</v>
      </c>
      <c r="K1212">
        <v>0</v>
      </c>
      <c r="L1212" s="1" t="s">
        <v>1085</v>
      </c>
      <c r="M1212" s="1" t="s">
        <v>1112</v>
      </c>
      <c r="N1212" t="s">
        <v>1241</v>
      </c>
    </row>
    <row r="1213" spans="1:14">
      <c r="A1213" s="1" t="s">
        <v>2463</v>
      </c>
      <c r="B1213" s="1" t="s">
        <v>2464</v>
      </c>
      <c r="C1213" s="1" t="s">
        <v>1110</v>
      </c>
      <c r="D1213" s="1" t="s">
        <v>1127</v>
      </c>
      <c r="E1213" s="1" t="s">
        <v>1091</v>
      </c>
      <c r="F1213" s="1" t="s">
        <v>1105</v>
      </c>
      <c r="G1213" s="1" t="s">
        <v>1084</v>
      </c>
      <c r="H1213">
        <v>31</v>
      </c>
      <c r="I1213" t="s">
        <v>2465</v>
      </c>
      <c r="J1213">
        <v>152474</v>
      </c>
      <c r="K1213">
        <v>0.27</v>
      </c>
      <c r="L1213" s="1" t="s">
        <v>1085</v>
      </c>
      <c r="M1213" s="1" t="s">
        <v>1112</v>
      </c>
      <c r="N1213" t="s">
        <v>1241</v>
      </c>
    </row>
    <row r="1214" spans="1:14">
      <c r="A1214" s="1" t="s">
        <v>2466</v>
      </c>
      <c r="B1214" s="1" t="s">
        <v>2467</v>
      </c>
      <c r="C1214" s="1" t="s">
        <v>1096</v>
      </c>
      <c r="D1214" s="1" t="s">
        <v>1097</v>
      </c>
      <c r="E1214" s="1" t="s">
        <v>1121</v>
      </c>
      <c r="F1214" s="1" t="s">
        <v>1105</v>
      </c>
      <c r="G1214" s="1" t="s">
        <v>1084</v>
      </c>
      <c r="H1214">
        <v>28</v>
      </c>
      <c r="I1214" t="s">
        <v>2468</v>
      </c>
      <c r="J1214">
        <v>75172</v>
      </c>
      <c r="K1214">
        <v>0</v>
      </c>
      <c r="L1214" s="1" t="s">
        <v>1100</v>
      </c>
      <c r="M1214" s="1" t="s">
        <v>1101</v>
      </c>
      <c r="N1214" t="s">
        <v>1241</v>
      </c>
    </row>
    <row r="1215" spans="1:14">
      <c r="A1215" s="1" t="s">
        <v>2469</v>
      </c>
      <c r="B1215" s="1" t="s">
        <v>2470</v>
      </c>
      <c r="C1215" s="1" t="s">
        <v>1213</v>
      </c>
      <c r="D1215" s="1" t="s">
        <v>1208</v>
      </c>
      <c r="E1215" s="1" t="s">
        <v>1082</v>
      </c>
      <c r="F1215" s="1" t="s">
        <v>1105</v>
      </c>
      <c r="G1215" s="1" t="s">
        <v>1106</v>
      </c>
      <c r="H1215">
        <v>50</v>
      </c>
      <c r="I1215">
        <v>39729</v>
      </c>
      <c r="J1215">
        <v>56002</v>
      </c>
      <c r="K1215">
        <v>0</v>
      </c>
      <c r="L1215" s="1" t="s">
        <v>1085</v>
      </c>
      <c r="M1215" s="1" t="s">
        <v>1112</v>
      </c>
      <c r="N1215" t="s">
        <v>1241</v>
      </c>
    </row>
    <row r="1216" spans="1:14">
      <c r="A1216" s="1" t="s">
        <v>2471</v>
      </c>
      <c r="B1216" s="1" t="s">
        <v>2472</v>
      </c>
      <c r="C1216" s="1" t="s">
        <v>1110</v>
      </c>
      <c r="D1216" s="1" t="s">
        <v>1090</v>
      </c>
      <c r="E1216" s="1" t="s">
        <v>1098</v>
      </c>
      <c r="F1216" s="1" t="s">
        <v>1105</v>
      </c>
      <c r="G1216" s="1" t="s">
        <v>1106</v>
      </c>
      <c r="H1216">
        <v>61</v>
      </c>
      <c r="I1216" t="s">
        <v>2243</v>
      </c>
      <c r="J1216">
        <v>195636</v>
      </c>
      <c r="K1216">
        <v>0.21</v>
      </c>
      <c r="L1216" s="1" t="s">
        <v>1221</v>
      </c>
      <c r="M1216" s="1" t="s">
        <v>1222</v>
      </c>
      <c r="N1216" t="s">
        <v>1241</v>
      </c>
    </row>
    <row r="1217" spans="1:14">
      <c r="A1217" s="1" t="s">
        <v>2473</v>
      </c>
      <c r="B1217" s="1" t="s">
        <v>2474</v>
      </c>
      <c r="C1217" s="1" t="s">
        <v>1285</v>
      </c>
      <c r="D1217" s="1" t="s">
        <v>1097</v>
      </c>
      <c r="E1217" s="1" t="s">
        <v>1121</v>
      </c>
      <c r="F1217" s="1" t="s">
        <v>1083</v>
      </c>
      <c r="G1217" s="1" t="s">
        <v>1133</v>
      </c>
      <c r="H1217">
        <v>53</v>
      </c>
      <c r="I1217">
        <v>35433</v>
      </c>
      <c r="J1217">
        <v>63165</v>
      </c>
      <c r="K1217">
        <v>0</v>
      </c>
      <c r="L1217" s="1" t="s">
        <v>1085</v>
      </c>
      <c r="M1217" s="1" t="s">
        <v>1107</v>
      </c>
      <c r="N1217" t="s">
        <v>1241</v>
      </c>
    </row>
    <row r="1218" spans="1:14">
      <c r="A1218" s="1" t="s">
        <v>2475</v>
      </c>
      <c r="B1218" s="1" t="s">
        <v>2476</v>
      </c>
      <c r="C1218" s="1" t="s">
        <v>1089</v>
      </c>
      <c r="D1218" s="1" t="s">
        <v>1090</v>
      </c>
      <c r="E1218" s="1" t="s">
        <v>1098</v>
      </c>
      <c r="F1218" s="1" t="s">
        <v>1105</v>
      </c>
      <c r="G1218" s="1" t="s">
        <v>1084</v>
      </c>
      <c r="H1218">
        <v>51</v>
      </c>
      <c r="I1218" t="s">
        <v>2477</v>
      </c>
      <c r="J1218">
        <v>57277</v>
      </c>
      <c r="K1218">
        <v>0</v>
      </c>
      <c r="L1218" s="1" t="s">
        <v>1100</v>
      </c>
      <c r="M1218" s="1" t="s">
        <v>1101</v>
      </c>
      <c r="N1218" t="s">
        <v>1241</v>
      </c>
    </row>
    <row r="1219" spans="1:14">
      <c r="A1219" s="1" t="s">
        <v>2478</v>
      </c>
      <c r="B1219" s="1" t="s">
        <v>2479</v>
      </c>
      <c r="C1219" s="1" t="s">
        <v>1089</v>
      </c>
      <c r="D1219" s="1" t="s">
        <v>1127</v>
      </c>
      <c r="E1219" s="1" t="s">
        <v>1121</v>
      </c>
      <c r="F1219" s="1" t="s">
        <v>1105</v>
      </c>
      <c r="G1219" s="1" t="s">
        <v>1106</v>
      </c>
      <c r="H1219">
        <v>56</v>
      </c>
      <c r="I1219" t="s">
        <v>2480</v>
      </c>
      <c r="J1219">
        <v>42950</v>
      </c>
      <c r="K1219">
        <v>0</v>
      </c>
      <c r="L1219" s="1" t="s">
        <v>1221</v>
      </c>
      <c r="M1219" s="1" t="s">
        <v>1222</v>
      </c>
      <c r="N1219" t="s">
        <v>1241</v>
      </c>
    </row>
    <row r="1220" spans="1:14">
      <c r="A1220" s="1" t="s">
        <v>2481</v>
      </c>
      <c r="B1220" s="1" t="s">
        <v>2482</v>
      </c>
      <c r="C1220" s="1" t="s">
        <v>1110</v>
      </c>
      <c r="D1220" s="1" t="s">
        <v>1097</v>
      </c>
      <c r="E1220" s="1" t="s">
        <v>1098</v>
      </c>
      <c r="F1220" s="1" t="s">
        <v>1083</v>
      </c>
      <c r="G1220" s="1" t="s">
        <v>1106</v>
      </c>
      <c r="H1220">
        <v>38</v>
      </c>
      <c r="I1220">
        <v>43353</v>
      </c>
      <c r="J1220">
        <v>168410</v>
      </c>
      <c r="K1220">
        <v>0.3</v>
      </c>
      <c r="L1220" s="1" t="s">
        <v>1085</v>
      </c>
      <c r="M1220" s="1" t="s">
        <v>1093</v>
      </c>
      <c r="N1220" t="s">
        <v>1241</v>
      </c>
    </row>
    <row r="1221" spans="1:14">
      <c r="A1221" s="1" t="s">
        <v>1141</v>
      </c>
      <c r="B1221" s="1" t="s">
        <v>1142</v>
      </c>
      <c r="C1221" s="1" t="s">
        <v>1119</v>
      </c>
      <c r="D1221" s="1" t="s">
        <v>1127</v>
      </c>
      <c r="E1221" s="1" t="s">
        <v>1121</v>
      </c>
      <c r="F1221" s="1" t="s">
        <v>1105</v>
      </c>
      <c r="G1221" s="1" t="s">
        <v>1084</v>
      </c>
      <c r="H1221">
        <v>63</v>
      </c>
      <c r="I1221">
        <v>41706</v>
      </c>
      <c r="J1221">
        <v>71418</v>
      </c>
      <c r="K1221">
        <v>0</v>
      </c>
      <c r="L1221" s="1" t="s">
        <v>1085</v>
      </c>
      <c r="M1221" s="1" t="s">
        <v>1116</v>
      </c>
      <c r="N1221" t="s">
        <v>1241</v>
      </c>
    </row>
    <row r="1222" spans="1:14">
      <c r="A1222" s="1" t="s">
        <v>1143</v>
      </c>
      <c r="B1222" s="1" t="s">
        <v>1144</v>
      </c>
      <c r="C1222" s="1" t="s">
        <v>1110</v>
      </c>
      <c r="D1222" s="1" t="s">
        <v>1097</v>
      </c>
      <c r="E1222" s="1" t="s">
        <v>1082</v>
      </c>
      <c r="F1222" s="1" t="s">
        <v>1083</v>
      </c>
      <c r="G1222" s="1" t="s">
        <v>1084</v>
      </c>
      <c r="H1222">
        <v>45</v>
      </c>
      <c r="I1222" t="s">
        <v>1145</v>
      </c>
      <c r="J1222">
        <v>150558</v>
      </c>
      <c r="K1222">
        <v>0.23</v>
      </c>
      <c r="L1222" s="1" t="s">
        <v>1100</v>
      </c>
      <c r="M1222" s="1" t="s">
        <v>1123</v>
      </c>
      <c r="N1222" t="s">
        <v>1241</v>
      </c>
    </row>
    <row r="1223" spans="1:14">
      <c r="A1223" s="1" t="s">
        <v>1146</v>
      </c>
      <c r="B1223" s="1" t="s">
        <v>1147</v>
      </c>
      <c r="C1223" s="1" t="s">
        <v>1136</v>
      </c>
      <c r="D1223" s="1" t="s">
        <v>1148</v>
      </c>
      <c r="E1223" s="1" t="s">
        <v>1091</v>
      </c>
      <c r="F1223" s="1" t="s">
        <v>1083</v>
      </c>
      <c r="G1223" s="1" t="s">
        <v>1133</v>
      </c>
      <c r="H1223">
        <v>36</v>
      </c>
      <c r="I1223" t="s">
        <v>1149</v>
      </c>
      <c r="J1223">
        <v>118912</v>
      </c>
      <c r="K1223">
        <v>0.08</v>
      </c>
      <c r="L1223" s="1" t="s">
        <v>1085</v>
      </c>
      <c r="M1223" s="1" t="s">
        <v>1137</v>
      </c>
      <c r="N1223" t="s">
        <v>1241</v>
      </c>
    </row>
    <row r="1224" spans="1:14">
      <c r="A1224" s="1" t="s">
        <v>1150</v>
      </c>
      <c r="B1224" s="1" t="s">
        <v>1151</v>
      </c>
      <c r="C1224" s="1" t="s">
        <v>1152</v>
      </c>
      <c r="D1224" s="1" t="s">
        <v>1148</v>
      </c>
      <c r="E1224" s="1" t="s">
        <v>1091</v>
      </c>
      <c r="F1224" s="1" t="s">
        <v>1083</v>
      </c>
      <c r="G1224" s="1" t="s">
        <v>1153</v>
      </c>
      <c r="H1224">
        <v>42</v>
      </c>
      <c r="I1224" t="s">
        <v>1154</v>
      </c>
      <c r="J1224">
        <v>131422</v>
      </c>
      <c r="K1224">
        <v>0.15</v>
      </c>
      <c r="L1224" s="1" t="s">
        <v>1085</v>
      </c>
      <c r="M1224" s="1" t="s">
        <v>1116</v>
      </c>
      <c r="N1224" t="s">
        <v>1241</v>
      </c>
    </row>
    <row r="1225" spans="1:14">
      <c r="A1225" s="1" t="s">
        <v>1155</v>
      </c>
      <c r="B1225" s="1" t="s">
        <v>1156</v>
      </c>
      <c r="C1225" s="1" t="s">
        <v>1104</v>
      </c>
      <c r="D1225" s="1" t="s">
        <v>1097</v>
      </c>
      <c r="E1225" s="1" t="s">
        <v>1091</v>
      </c>
      <c r="F1225" s="1" t="s">
        <v>1105</v>
      </c>
      <c r="G1225" s="1" t="s">
        <v>1084</v>
      </c>
      <c r="H1225">
        <v>62</v>
      </c>
      <c r="I1225" t="s">
        <v>1157</v>
      </c>
      <c r="J1225">
        <v>64208</v>
      </c>
      <c r="K1225">
        <v>0</v>
      </c>
      <c r="L1225" s="1" t="s">
        <v>1085</v>
      </c>
      <c r="M1225" s="1" t="s">
        <v>1137</v>
      </c>
      <c r="N1225" t="s">
        <v>1241</v>
      </c>
    </row>
    <row r="1226" spans="1:14">
      <c r="A1226" s="1" t="s">
        <v>1158</v>
      </c>
      <c r="B1226" s="1" t="s">
        <v>1159</v>
      </c>
      <c r="C1226" s="1" t="s">
        <v>1160</v>
      </c>
      <c r="D1226" s="1" t="s">
        <v>1081</v>
      </c>
      <c r="E1226" s="1" t="s">
        <v>1121</v>
      </c>
      <c r="F1226" s="1" t="s">
        <v>1105</v>
      </c>
      <c r="G1226" s="1" t="s">
        <v>1084</v>
      </c>
      <c r="H1226">
        <v>45</v>
      </c>
      <c r="I1226">
        <v>40306</v>
      </c>
      <c r="J1226">
        <v>254486</v>
      </c>
      <c r="K1226">
        <v>0.33</v>
      </c>
      <c r="L1226" s="1" t="s">
        <v>1100</v>
      </c>
      <c r="M1226" s="1" t="s">
        <v>1129</v>
      </c>
      <c r="N1226" t="s">
        <v>1241</v>
      </c>
    </row>
    <row r="1227" spans="1:14">
      <c r="A1227" s="1" t="s">
        <v>1161</v>
      </c>
      <c r="B1227" s="1" t="s">
        <v>1162</v>
      </c>
      <c r="C1227" s="1" t="s">
        <v>1089</v>
      </c>
      <c r="D1227" s="1" t="s">
        <v>1090</v>
      </c>
      <c r="E1227" s="1" t="s">
        <v>1121</v>
      </c>
      <c r="F1227" s="1" t="s">
        <v>1105</v>
      </c>
      <c r="G1227" s="1" t="s">
        <v>1084</v>
      </c>
      <c r="H1227">
        <v>61</v>
      </c>
      <c r="I1227">
        <v>43527</v>
      </c>
      <c r="J1227">
        <v>54811</v>
      </c>
      <c r="K1227">
        <v>0</v>
      </c>
      <c r="L1227" s="1" t="s">
        <v>1100</v>
      </c>
      <c r="M1227" s="1" t="s">
        <v>1123</v>
      </c>
      <c r="N1227" t="s">
        <v>1241</v>
      </c>
    </row>
    <row r="1228" spans="1:14">
      <c r="A1228" s="1" t="s">
        <v>1163</v>
      </c>
      <c r="B1228" s="1" t="s">
        <v>1164</v>
      </c>
      <c r="C1228" s="1" t="s">
        <v>1165</v>
      </c>
      <c r="D1228" s="1" t="s">
        <v>1097</v>
      </c>
      <c r="E1228" s="1" t="s">
        <v>1121</v>
      </c>
      <c r="F1228" s="1" t="s">
        <v>1083</v>
      </c>
      <c r="G1228" s="1" t="s">
        <v>1084</v>
      </c>
      <c r="H1228">
        <v>29</v>
      </c>
      <c r="I1228">
        <v>43050</v>
      </c>
      <c r="J1228">
        <v>95729</v>
      </c>
      <c r="K1228">
        <v>0</v>
      </c>
      <c r="L1228" s="1" t="s">
        <v>1085</v>
      </c>
      <c r="M1228" s="1" t="s">
        <v>1107</v>
      </c>
      <c r="N1228" t="s">
        <v>1241</v>
      </c>
    </row>
    <row r="1229" spans="1:14">
      <c r="A1229" s="1" t="s">
        <v>1166</v>
      </c>
      <c r="B1229" s="1" t="s">
        <v>1167</v>
      </c>
      <c r="C1229" s="1" t="s">
        <v>1136</v>
      </c>
      <c r="D1229" s="1" t="s">
        <v>1120</v>
      </c>
      <c r="E1229" s="1" t="s">
        <v>1121</v>
      </c>
      <c r="F1229" s="1" t="s">
        <v>1105</v>
      </c>
      <c r="G1229" s="1" t="s">
        <v>1106</v>
      </c>
      <c r="H1229">
        <v>63</v>
      </c>
      <c r="I1229">
        <v>40027</v>
      </c>
      <c r="J1229">
        <v>102649</v>
      </c>
      <c r="K1229">
        <v>0.06</v>
      </c>
      <c r="L1229" s="1" t="s">
        <v>1085</v>
      </c>
      <c r="M1229" s="1" t="s">
        <v>1112</v>
      </c>
      <c r="N1229" t="s">
        <v>1241</v>
      </c>
    </row>
    <row r="1230" spans="1:14">
      <c r="A1230" s="1" t="s">
        <v>1168</v>
      </c>
      <c r="B1230" s="1" t="s">
        <v>1169</v>
      </c>
      <c r="C1230" s="1" t="s">
        <v>1152</v>
      </c>
      <c r="D1230" s="1" t="s">
        <v>1120</v>
      </c>
      <c r="E1230" s="1" t="s">
        <v>1121</v>
      </c>
      <c r="F1230" s="1" t="s">
        <v>1083</v>
      </c>
      <c r="G1230" s="1" t="s">
        <v>1084</v>
      </c>
      <c r="H1230">
        <v>45</v>
      </c>
      <c r="I1230" t="s">
        <v>1170</v>
      </c>
      <c r="J1230">
        <v>122875</v>
      </c>
      <c r="K1230">
        <v>0.12</v>
      </c>
      <c r="L1230" s="1" t="s">
        <v>1085</v>
      </c>
      <c r="M1230" s="1" t="s">
        <v>1093</v>
      </c>
      <c r="N1230" t="s">
        <v>1241</v>
      </c>
    </row>
    <row r="1231" spans="1:14">
      <c r="A1231" s="1" t="s">
        <v>1171</v>
      </c>
      <c r="B1231" s="1" t="s">
        <v>1172</v>
      </c>
      <c r="C1231" s="1" t="s">
        <v>1173</v>
      </c>
      <c r="D1231" s="1" t="s">
        <v>1097</v>
      </c>
      <c r="E1231" s="1" t="s">
        <v>1098</v>
      </c>
      <c r="F1231" s="1" t="s">
        <v>1105</v>
      </c>
      <c r="G1231" s="1" t="s">
        <v>1153</v>
      </c>
      <c r="H1231">
        <v>43</v>
      </c>
      <c r="I1231" t="s">
        <v>1174</v>
      </c>
      <c r="J1231">
        <v>83323</v>
      </c>
      <c r="K1231">
        <v>0</v>
      </c>
      <c r="L1231" s="1" t="s">
        <v>1085</v>
      </c>
      <c r="M1231" s="1" t="s">
        <v>1116</v>
      </c>
      <c r="N1231" t="s">
        <v>1243</v>
      </c>
    </row>
    <row r="1232" spans="1:14">
      <c r="A1232" s="1" t="s">
        <v>1175</v>
      </c>
      <c r="B1232" s="1" t="s">
        <v>1176</v>
      </c>
      <c r="C1232" s="1" t="s">
        <v>1177</v>
      </c>
      <c r="D1232" s="1" t="s">
        <v>1090</v>
      </c>
      <c r="E1232" s="1" t="s">
        <v>1082</v>
      </c>
      <c r="F1232" s="1" t="s">
        <v>1105</v>
      </c>
      <c r="G1232" s="1" t="s">
        <v>1084</v>
      </c>
      <c r="H1232">
        <v>31</v>
      </c>
      <c r="I1232" t="s">
        <v>1178</v>
      </c>
      <c r="J1232">
        <v>66721</v>
      </c>
      <c r="K1232">
        <v>0</v>
      </c>
      <c r="L1232" s="1" t="s">
        <v>1100</v>
      </c>
      <c r="M1232" s="1" t="s">
        <v>1101</v>
      </c>
      <c r="N1232" t="s">
        <v>1241</v>
      </c>
    </row>
    <row r="1233" spans="1:14">
      <c r="A1233" s="1" t="s">
        <v>1179</v>
      </c>
      <c r="B1233" s="1" t="s">
        <v>1180</v>
      </c>
      <c r="C1233" s="1" t="s">
        <v>1160</v>
      </c>
      <c r="D1233" s="1" t="s">
        <v>1120</v>
      </c>
      <c r="E1233" s="1" t="s">
        <v>1121</v>
      </c>
      <c r="F1233" s="1" t="s">
        <v>1083</v>
      </c>
      <c r="G1233" s="1" t="s">
        <v>1084</v>
      </c>
      <c r="H1233">
        <v>48</v>
      </c>
      <c r="I1233" t="s">
        <v>1181</v>
      </c>
      <c r="J1233">
        <v>246400</v>
      </c>
      <c r="K1233">
        <v>0.36</v>
      </c>
      <c r="L1233" s="1" t="s">
        <v>1100</v>
      </c>
      <c r="M1233" s="1" t="s">
        <v>1123</v>
      </c>
      <c r="N1233" t="s">
        <v>1241</v>
      </c>
    </row>
    <row r="1234" spans="1:14">
      <c r="A1234" s="1" t="s">
        <v>1182</v>
      </c>
      <c r="B1234" s="1" t="s">
        <v>1183</v>
      </c>
      <c r="C1234" s="1" t="s">
        <v>1136</v>
      </c>
      <c r="D1234" s="1" t="s">
        <v>1090</v>
      </c>
      <c r="E1234" s="1" t="s">
        <v>1121</v>
      </c>
      <c r="F1234" s="1" t="s">
        <v>1083</v>
      </c>
      <c r="G1234" s="1" t="s">
        <v>1133</v>
      </c>
      <c r="H1234">
        <v>55</v>
      </c>
      <c r="I1234" t="s">
        <v>1184</v>
      </c>
      <c r="J1234">
        <v>113525</v>
      </c>
      <c r="K1234">
        <v>0.06</v>
      </c>
      <c r="L1234" s="1" t="s">
        <v>1085</v>
      </c>
      <c r="M1234" s="1" t="s">
        <v>1137</v>
      </c>
      <c r="N1234" t="s">
        <v>1241</v>
      </c>
    </row>
    <row r="1235" spans="1:14">
      <c r="A1235" s="1" t="s">
        <v>1185</v>
      </c>
      <c r="B1235" s="1" t="s">
        <v>1186</v>
      </c>
      <c r="C1235" s="1" t="s">
        <v>1110</v>
      </c>
      <c r="D1235" s="1" t="s">
        <v>1120</v>
      </c>
      <c r="E1235" s="1" t="s">
        <v>1082</v>
      </c>
      <c r="F1235" s="1" t="s">
        <v>1083</v>
      </c>
      <c r="G1235" s="1" t="s">
        <v>1084</v>
      </c>
      <c r="H1235">
        <v>64</v>
      </c>
      <c r="I1235" t="s">
        <v>1187</v>
      </c>
      <c r="J1235">
        <v>184342</v>
      </c>
      <c r="K1235">
        <v>0.22</v>
      </c>
      <c r="L1235" s="1" t="s">
        <v>1100</v>
      </c>
      <c r="M1235" s="1" t="s">
        <v>1188</v>
      </c>
      <c r="N1235" t="s">
        <v>1241</v>
      </c>
    </row>
    <row r="1236" spans="1:14">
      <c r="A1236" s="1" t="s">
        <v>1189</v>
      </c>
      <c r="B1236" s="1" t="s">
        <v>1190</v>
      </c>
      <c r="C1236" s="1" t="s">
        <v>1110</v>
      </c>
      <c r="D1236" s="1" t="s">
        <v>1148</v>
      </c>
      <c r="E1236" s="1" t="s">
        <v>1121</v>
      </c>
      <c r="F1236" s="1" t="s">
        <v>1083</v>
      </c>
      <c r="G1236" s="1" t="s">
        <v>1133</v>
      </c>
      <c r="H1236">
        <v>58</v>
      </c>
      <c r="I1236" t="s">
        <v>1191</v>
      </c>
      <c r="J1236">
        <v>151341</v>
      </c>
      <c r="K1236">
        <v>0.22</v>
      </c>
      <c r="L1236" s="1" t="s">
        <v>1085</v>
      </c>
      <c r="M1236" s="1" t="s">
        <v>1107</v>
      </c>
      <c r="N1236" t="s">
        <v>1241</v>
      </c>
    </row>
    <row r="1237" spans="1:14">
      <c r="A1237" s="1" t="s">
        <v>1192</v>
      </c>
      <c r="B1237" s="1" t="s">
        <v>1193</v>
      </c>
      <c r="C1237" s="1" t="s">
        <v>1136</v>
      </c>
      <c r="D1237" s="1" t="s">
        <v>1148</v>
      </c>
      <c r="E1237" s="1" t="s">
        <v>1082</v>
      </c>
      <c r="F1237" s="1" t="s">
        <v>1105</v>
      </c>
      <c r="G1237" s="1" t="s">
        <v>1133</v>
      </c>
      <c r="H1237">
        <v>50</v>
      </c>
      <c r="I1237">
        <v>38299</v>
      </c>
      <c r="J1237">
        <v>118900</v>
      </c>
      <c r="K1237">
        <v>0.05</v>
      </c>
      <c r="L1237" s="1" t="s">
        <v>1085</v>
      </c>
      <c r="M1237" s="1" t="s">
        <v>1107</v>
      </c>
      <c r="N1237" t="s">
        <v>1241</v>
      </c>
    </row>
    <row r="1238" spans="1:14">
      <c r="A1238" s="1" t="s">
        <v>1194</v>
      </c>
      <c r="B1238" s="1" t="s">
        <v>1195</v>
      </c>
      <c r="C1238" s="1" t="s">
        <v>1152</v>
      </c>
      <c r="D1238" s="1" t="s">
        <v>1148</v>
      </c>
      <c r="E1238" s="1" t="s">
        <v>1091</v>
      </c>
      <c r="F1238" s="1" t="s">
        <v>1105</v>
      </c>
      <c r="G1238" s="1" t="s">
        <v>1153</v>
      </c>
      <c r="H1238">
        <v>41</v>
      </c>
      <c r="I1238" t="s">
        <v>1196</v>
      </c>
      <c r="J1238">
        <v>153370</v>
      </c>
      <c r="K1238">
        <v>0.1</v>
      </c>
      <c r="L1238" s="1" t="s">
        <v>1085</v>
      </c>
      <c r="M1238" s="1" t="s">
        <v>1093</v>
      </c>
      <c r="N1238" t="s">
        <v>1241</v>
      </c>
    </row>
    <row r="1239" spans="1:14">
      <c r="A1239" s="1" t="s">
        <v>1197</v>
      </c>
      <c r="B1239" s="1" t="s">
        <v>1198</v>
      </c>
      <c r="C1239" s="1" t="s">
        <v>1132</v>
      </c>
      <c r="D1239" s="1" t="s">
        <v>1097</v>
      </c>
      <c r="E1239" s="1" t="s">
        <v>1121</v>
      </c>
      <c r="F1239" s="1" t="s">
        <v>1083</v>
      </c>
      <c r="G1239" s="1" t="s">
        <v>1084</v>
      </c>
      <c r="H1239">
        <v>50</v>
      </c>
      <c r="I1239" t="s">
        <v>1199</v>
      </c>
      <c r="J1239">
        <v>72860</v>
      </c>
      <c r="K1239">
        <v>0</v>
      </c>
      <c r="L1239" s="1" t="s">
        <v>1100</v>
      </c>
      <c r="M1239" s="1" t="s">
        <v>1101</v>
      </c>
      <c r="N1239" t="s">
        <v>1241</v>
      </c>
    </row>
    <row r="1240" spans="1:14">
      <c r="A1240" s="1" t="s">
        <v>1200</v>
      </c>
      <c r="B1240" s="1" t="s">
        <v>1201</v>
      </c>
      <c r="C1240" s="1" t="s">
        <v>1160</v>
      </c>
      <c r="D1240" s="1" t="s">
        <v>1127</v>
      </c>
      <c r="E1240" s="1" t="s">
        <v>1098</v>
      </c>
      <c r="F1240" s="1" t="s">
        <v>1105</v>
      </c>
      <c r="G1240" s="1" t="s">
        <v>1133</v>
      </c>
      <c r="H1240">
        <v>59</v>
      </c>
      <c r="I1240" t="s">
        <v>1202</v>
      </c>
      <c r="J1240">
        <v>255610</v>
      </c>
      <c r="K1240">
        <v>0.36</v>
      </c>
      <c r="L1240" s="1" t="s">
        <v>1085</v>
      </c>
      <c r="M1240" s="1" t="s">
        <v>1116</v>
      </c>
      <c r="N1240" t="s">
        <v>1241</v>
      </c>
    </row>
    <row r="1241" spans="1:14">
      <c r="A1241" s="1" t="s">
        <v>1203</v>
      </c>
      <c r="B1241" s="1" t="s">
        <v>1204</v>
      </c>
      <c r="C1241" s="1" t="s">
        <v>1119</v>
      </c>
      <c r="D1241" s="1" t="s">
        <v>1090</v>
      </c>
      <c r="E1241" s="1" t="s">
        <v>1091</v>
      </c>
      <c r="F1241" s="1" t="s">
        <v>1083</v>
      </c>
      <c r="G1241" s="1" t="s">
        <v>1084</v>
      </c>
      <c r="H1241">
        <v>26</v>
      </c>
      <c r="I1241" t="s">
        <v>1205</v>
      </c>
      <c r="J1241">
        <v>84962</v>
      </c>
      <c r="K1241">
        <v>0</v>
      </c>
      <c r="L1241" s="1" t="s">
        <v>1100</v>
      </c>
      <c r="M1241" s="1" t="s">
        <v>1129</v>
      </c>
      <c r="N1241" t="s">
        <v>1241</v>
      </c>
    </row>
    <row r="1242" spans="1:14">
      <c r="A1242" s="1" t="s">
        <v>1783</v>
      </c>
      <c r="B1242" s="1" t="s">
        <v>1784</v>
      </c>
      <c r="C1242" s="1" t="s">
        <v>1110</v>
      </c>
      <c r="D1242" s="1" t="s">
        <v>1127</v>
      </c>
      <c r="E1242" s="1" t="s">
        <v>1091</v>
      </c>
      <c r="F1242" s="1" t="s">
        <v>1083</v>
      </c>
      <c r="G1242" s="1" t="s">
        <v>1084</v>
      </c>
      <c r="H1242">
        <v>28</v>
      </c>
      <c r="I1242">
        <v>44905</v>
      </c>
      <c r="J1242">
        <v>198662</v>
      </c>
      <c r="K1242">
        <v>0.25</v>
      </c>
      <c r="L1242" s="1" t="s">
        <v>1100</v>
      </c>
      <c r="M1242" s="1" t="s">
        <v>1188</v>
      </c>
      <c r="N1242" t="s">
        <v>1241</v>
      </c>
    </row>
    <row r="1243" spans="1:14">
      <c r="A1243" s="1" t="s">
        <v>1785</v>
      </c>
      <c r="B1243" s="1" t="s">
        <v>1786</v>
      </c>
      <c r="C1243" s="1" t="s">
        <v>1152</v>
      </c>
      <c r="D1243" s="1" t="s">
        <v>1148</v>
      </c>
      <c r="E1243" s="1" t="s">
        <v>1082</v>
      </c>
      <c r="F1243" s="1" t="s">
        <v>1105</v>
      </c>
      <c r="G1243" s="1" t="s">
        <v>1153</v>
      </c>
      <c r="H1243">
        <v>57</v>
      </c>
      <c r="I1243">
        <v>44538</v>
      </c>
      <c r="J1243">
        <v>142506</v>
      </c>
      <c r="K1243">
        <v>0.11</v>
      </c>
      <c r="L1243" s="1" t="s">
        <v>1085</v>
      </c>
      <c r="M1243" s="1" t="s">
        <v>1112</v>
      </c>
      <c r="N1243" t="s">
        <v>1241</v>
      </c>
    </row>
    <row r="1244" spans="1:14">
      <c r="A1244" s="1" t="s">
        <v>1787</v>
      </c>
      <c r="B1244" s="1" t="s">
        <v>1788</v>
      </c>
      <c r="C1244" s="1" t="s">
        <v>1560</v>
      </c>
      <c r="D1244" s="1" t="s">
        <v>1097</v>
      </c>
      <c r="E1244" s="1" t="s">
        <v>1082</v>
      </c>
      <c r="F1244" s="1" t="s">
        <v>1083</v>
      </c>
      <c r="G1244" s="1" t="s">
        <v>1153</v>
      </c>
      <c r="H1244">
        <v>57</v>
      </c>
      <c r="I1244" t="s">
        <v>1789</v>
      </c>
      <c r="J1244">
        <v>77028</v>
      </c>
      <c r="K1244">
        <v>0</v>
      </c>
      <c r="L1244" s="1" t="s">
        <v>1085</v>
      </c>
      <c r="M1244" s="1" t="s">
        <v>1107</v>
      </c>
      <c r="N1244" t="s">
        <v>1241</v>
      </c>
    </row>
    <row r="1245" spans="1:14">
      <c r="A1245" s="1" t="s">
        <v>1790</v>
      </c>
      <c r="B1245" s="1" t="s">
        <v>1791</v>
      </c>
      <c r="C1245" s="1" t="s">
        <v>1275</v>
      </c>
      <c r="D1245" s="1" t="s">
        <v>1097</v>
      </c>
      <c r="E1245" s="1" t="s">
        <v>1098</v>
      </c>
      <c r="F1245" s="1" t="s">
        <v>1083</v>
      </c>
      <c r="G1245" s="1" t="s">
        <v>1106</v>
      </c>
      <c r="H1245">
        <v>30</v>
      </c>
      <c r="I1245">
        <v>42979</v>
      </c>
      <c r="J1245">
        <v>80389</v>
      </c>
      <c r="K1245">
        <v>0</v>
      </c>
      <c r="L1245" s="1" t="s">
        <v>1221</v>
      </c>
      <c r="M1245" s="1" t="s">
        <v>1443</v>
      </c>
      <c r="N1245">
        <v>43017</v>
      </c>
    </row>
    <row r="1246" spans="1:14">
      <c r="A1246" s="1" t="s">
        <v>1792</v>
      </c>
      <c r="B1246" s="1" t="s">
        <v>1793</v>
      </c>
      <c r="C1246" s="1" t="s">
        <v>1160</v>
      </c>
      <c r="D1246" s="1" t="s">
        <v>1081</v>
      </c>
      <c r="E1246" s="1" t="s">
        <v>1121</v>
      </c>
      <c r="F1246" s="1" t="s">
        <v>1105</v>
      </c>
      <c r="G1246" s="1" t="s">
        <v>1133</v>
      </c>
      <c r="H1246">
        <v>26</v>
      </c>
      <c r="I1246" t="s">
        <v>1333</v>
      </c>
      <c r="J1246">
        <v>249062</v>
      </c>
      <c r="K1246">
        <v>0.39</v>
      </c>
      <c r="L1246" s="1" t="s">
        <v>1085</v>
      </c>
      <c r="M1246" s="1" t="s">
        <v>1137</v>
      </c>
      <c r="N1246" t="s">
        <v>1241</v>
      </c>
    </row>
    <row r="1247" spans="1:14">
      <c r="A1247" s="1" t="s">
        <v>1794</v>
      </c>
      <c r="B1247" s="1" t="s">
        <v>1795</v>
      </c>
      <c r="C1247" s="1" t="s">
        <v>1269</v>
      </c>
      <c r="D1247" s="1" t="s">
        <v>1097</v>
      </c>
      <c r="E1247" s="1" t="s">
        <v>1091</v>
      </c>
      <c r="F1247" s="1" t="s">
        <v>1105</v>
      </c>
      <c r="G1247" s="1" t="s">
        <v>1106</v>
      </c>
      <c r="H1247">
        <v>53</v>
      </c>
      <c r="I1247">
        <v>41487</v>
      </c>
      <c r="J1247">
        <v>52675</v>
      </c>
      <c r="K1247">
        <v>0</v>
      </c>
      <c r="L1247" s="1" t="s">
        <v>1221</v>
      </c>
      <c r="M1247" s="1" t="s">
        <v>1443</v>
      </c>
      <c r="N1247" t="s">
        <v>1241</v>
      </c>
    </row>
    <row r="1248" spans="1:14">
      <c r="A1248" s="1" t="s">
        <v>1796</v>
      </c>
      <c r="B1248" s="1" t="s">
        <v>1797</v>
      </c>
      <c r="C1248" s="1" t="s">
        <v>1591</v>
      </c>
      <c r="D1248" s="1" t="s">
        <v>1090</v>
      </c>
      <c r="E1248" s="1" t="s">
        <v>1082</v>
      </c>
      <c r="F1248" s="1" t="s">
        <v>1083</v>
      </c>
      <c r="G1248" s="1" t="s">
        <v>1084</v>
      </c>
      <c r="H1248">
        <v>59</v>
      </c>
      <c r="I1248">
        <v>41948</v>
      </c>
      <c r="J1248">
        <v>83365</v>
      </c>
      <c r="K1248">
        <v>0</v>
      </c>
      <c r="L1248" s="1" t="s">
        <v>1100</v>
      </c>
      <c r="M1248" s="1" t="s">
        <v>1123</v>
      </c>
      <c r="N1248" t="s">
        <v>1241</v>
      </c>
    </row>
    <row r="1249" spans="1:14">
      <c r="A1249" s="1" t="s">
        <v>1798</v>
      </c>
      <c r="B1249" s="1" t="s">
        <v>1799</v>
      </c>
      <c r="C1249" s="1" t="s">
        <v>1358</v>
      </c>
      <c r="D1249" s="1" t="s">
        <v>1097</v>
      </c>
      <c r="E1249" s="1" t="s">
        <v>1121</v>
      </c>
      <c r="F1249" s="1" t="s">
        <v>1083</v>
      </c>
      <c r="G1249" s="1" t="s">
        <v>1084</v>
      </c>
      <c r="H1249">
        <v>56</v>
      </c>
      <c r="I1249" t="s">
        <v>1800</v>
      </c>
      <c r="J1249">
        <v>82758</v>
      </c>
      <c r="K1249">
        <v>0</v>
      </c>
      <c r="L1249" s="1" t="s">
        <v>1085</v>
      </c>
      <c r="M1249" s="1" t="s">
        <v>1107</v>
      </c>
      <c r="N1249" t="s">
        <v>1241</v>
      </c>
    </row>
    <row r="1250" spans="1:14">
      <c r="A1250" s="1" t="s">
        <v>1801</v>
      </c>
      <c r="B1250" s="1" t="s">
        <v>1802</v>
      </c>
      <c r="C1250" s="1" t="s">
        <v>1136</v>
      </c>
      <c r="D1250" s="1" t="s">
        <v>1097</v>
      </c>
      <c r="E1250" s="1" t="s">
        <v>1091</v>
      </c>
      <c r="F1250" s="1" t="s">
        <v>1083</v>
      </c>
      <c r="G1250" s="1" t="s">
        <v>1133</v>
      </c>
      <c r="H1250">
        <v>41</v>
      </c>
      <c r="I1250" t="s">
        <v>1803</v>
      </c>
      <c r="J1250">
        <v>126406</v>
      </c>
      <c r="K1250">
        <v>0.1</v>
      </c>
      <c r="L1250" s="1" t="s">
        <v>1085</v>
      </c>
      <c r="M1250" s="1" t="s">
        <v>1093</v>
      </c>
      <c r="N1250" t="s">
        <v>1241</v>
      </c>
    </row>
    <row r="1251" spans="1:14">
      <c r="A1251" s="1" t="s">
        <v>1804</v>
      </c>
      <c r="B1251" s="1" t="s">
        <v>1805</v>
      </c>
      <c r="C1251" s="1" t="s">
        <v>1136</v>
      </c>
      <c r="D1251" s="1" t="s">
        <v>1148</v>
      </c>
      <c r="E1251" s="1" t="s">
        <v>1091</v>
      </c>
      <c r="F1251" s="1" t="s">
        <v>1105</v>
      </c>
      <c r="G1251" s="1" t="s">
        <v>1084</v>
      </c>
      <c r="H1251">
        <v>46</v>
      </c>
      <c r="I1251" t="s">
        <v>1806</v>
      </c>
      <c r="J1251">
        <v>103147</v>
      </c>
      <c r="K1251">
        <v>0.06</v>
      </c>
      <c r="L1251" s="1" t="s">
        <v>1085</v>
      </c>
      <c r="M1251" s="1" t="s">
        <v>1137</v>
      </c>
      <c r="N1251" t="s">
        <v>1241</v>
      </c>
    </row>
    <row r="1252" spans="1:14">
      <c r="A1252" s="1" t="s">
        <v>1807</v>
      </c>
      <c r="B1252" s="1" t="s">
        <v>1808</v>
      </c>
      <c r="C1252" s="1" t="s">
        <v>1104</v>
      </c>
      <c r="D1252" s="1" t="s">
        <v>1097</v>
      </c>
      <c r="E1252" s="1" t="s">
        <v>1082</v>
      </c>
      <c r="F1252" s="1" t="s">
        <v>1083</v>
      </c>
      <c r="G1252" s="1" t="s">
        <v>1106</v>
      </c>
      <c r="H1252">
        <v>49</v>
      </c>
      <c r="I1252">
        <v>43931</v>
      </c>
      <c r="J1252">
        <v>81622</v>
      </c>
      <c r="K1252">
        <v>0</v>
      </c>
      <c r="L1252" s="1" t="s">
        <v>1085</v>
      </c>
      <c r="M1252" s="1" t="s">
        <v>1093</v>
      </c>
      <c r="N1252" t="s">
        <v>1241</v>
      </c>
    </row>
    <row r="1253" spans="1:14">
      <c r="A1253" s="1" t="s">
        <v>1809</v>
      </c>
      <c r="B1253" s="1" t="s">
        <v>1810</v>
      </c>
      <c r="C1253" s="1" t="s">
        <v>1140</v>
      </c>
      <c r="D1253" s="1" t="s">
        <v>1097</v>
      </c>
      <c r="E1253" s="1" t="s">
        <v>1121</v>
      </c>
      <c r="F1253" s="1" t="s">
        <v>1083</v>
      </c>
      <c r="G1253" s="1" t="s">
        <v>1133</v>
      </c>
      <c r="H1253">
        <v>42</v>
      </c>
      <c r="I1253" t="s">
        <v>1462</v>
      </c>
      <c r="J1253">
        <v>44265</v>
      </c>
      <c r="K1253">
        <v>0</v>
      </c>
      <c r="L1253" s="1" t="s">
        <v>1085</v>
      </c>
      <c r="M1253" s="1" t="s">
        <v>1112</v>
      </c>
      <c r="N1253" t="s">
        <v>1811</v>
      </c>
    </row>
    <row r="1254" spans="1:14">
      <c r="A1254" s="1" t="s">
        <v>1812</v>
      </c>
      <c r="B1254" s="1" t="s">
        <v>1813</v>
      </c>
      <c r="C1254" s="1" t="s">
        <v>1160</v>
      </c>
      <c r="D1254" s="1" t="s">
        <v>1090</v>
      </c>
      <c r="E1254" s="1" t="s">
        <v>1121</v>
      </c>
      <c r="F1254" s="1" t="s">
        <v>1105</v>
      </c>
      <c r="G1254" s="1" t="s">
        <v>1084</v>
      </c>
      <c r="H1254">
        <v>55</v>
      </c>
      <c r="I1254">
        <v>36222</v>
      </c>
      <c r="J1254">
        <v>213998</v>
      </c>
      <c r="K1254">
        <v>0.34</v>
      </c>
      <c r="L1254" s="1" t="s">
        <v>1085</v>
      </c>
      <c r="M1254" s="1" t="s">
        <v>1137</v>
      </c>
      <c r="N1254" t="s">
        <v>1241</v>
      </c>
    </row>
    <row r="1255" spans="1:14">
      <c r="A1255" s="1" t="s">
        <v>1814</v>
      </c>
      <c r="B1255" s="1" t="s">
        <v>1815</v>
      </c>
      <c r="C1255" s="1" t="s">
        <v>1110</v>
      </c>
      <c r="D1255" s="1" t="s">
        <v>1097</v>
      </c>
      <c r="E1255" s="1" t="s">
        <v>1098</v>
      </c>
      <c r="F1255" s="1" t="s">
        <v>1083</v>
      </c>
      <c r="G1255" s="1" t="s">
        <v>1106</v>
      </c>
      <c r="H1255">
        <v>44</v>
      </c>
      <c r="I1255" t="s">
        <v>1816</v>
      </c>
      <c r="J1255">
        <v>171823</v>
      </c>
      <c r="K1255">
        <v>0.27</v>
      </c>
      <c r="L1255" s="1" t="s">
        <v>1085</v>
      </c>
      <c r="M1255" s="1" t="s">
        <v>1086</v>
      </c>
      <c r="N1255" t="s">
        <v>1241</v>
      </c>
    </row>
    <row r="1256" spans="1:14">
      <c r="A1256" s="1" t="s">
        <v>1817</v>
      </c>
      <c r="B1256" s="1" t="s">
        <v>1818</v>
      </c>
      <c r="C1256" s="1" t="s">
        <v>1160</v>
      </c>
      <c r="D1256" s="1" t="s">
        <v>1120</v>
      </c>
      <c r="E1256" s="1" t="s">
        <v>1082</v>
      </c>
      <c r="F1256" s="1" t="s">
        <v>1083</v>
      </c>
      <c r="G1256" s="1" t="s">
        <v>1084</v>
      </c>
      <c r="H1256">
        <v>28</v>
      </c>
      <c r="I1256">
        <v>43262</v>
      </c>
      <c r="J1256">
        <v>201013</v>
      </c>
      <c r="K1256">
        <v>0.31</v>
      </c>
      <c r="L1256" s="1" t="s">
        <v>1085</v>
      </c>
      <c r="M1256" s="1" t="s">
        <v>1116</v>
      </c>
      <c r="N1256" t="s">
        <v>1241</v>
      </c>
    </row>
    <row r="1257" spans="1:14">
      <c r="A1257" s="1" t="s">
        <v>1819</v>
      </c>
      <c r="B1257" s="1" t="s">
        <v>1820</v>
      </c>
      <c r="C1257" s="1" t="s">
        <v>1110</v>
      </c>
      <c r="D1257" s="1" t="s">
        <v>1097</v>
      </c>
      <c r="E1257" s="1" t="s">
        <v>1082</v>
      </c>
      <c r="F1257" s="1" t="s">
        <v>1083</v>
      </c>
      <c r="G1257" s="1" t="s">
        <v>1153</v>
      </c>
      <c r="H1257">
        <v>41</v>
      </c>
      <c r="I1257" t="s">
        <v>1821</v>
      </c>
      <c r="J1257">
        <v>192944</v>
      </c>
      <c r="K1257">
        <v>0.22</v>
      </c>
      <c r="L1257" s="1" t="s">
        <v>1085</v>
      </c>
      <c r="M1257" s="1" t="s">
        <v>1137</v>
      </c>
      <c r="N1257" t="s">
        <v>1241</v>
      </c>
    </row>
    <row r="1258" spans="1:14">
      <c r="A1258" s="1" t="s">
        <v>1822</v>
      </c>
      <c r="B1258" s="1" t="s">
        <v>1823</v>
      </c>
      <c r="C1258" s="1" t="s">
        <v>1080</v>
      </c>
      <c r="D1258" s="1" t="s">
        <v>1081</v>
      </c>
      <c r="E1258" s="1" t="s">
        <v>1082</v>
      </c>
      <c r="F1258" s="1" t="s">
        <v>1083</v>
      </c>
      <c r="G1258" s="1" t="s">
        <v>1084</v>
      </c>
      <c r="H1258">
        <v>60</v>
      </c>
      <c r="I1258" t="s">
        <v>1824</v>
      </c>
      <c r="J1258">
        <v>81699</v>
      </c>
      <c r="K1258">
        <v>0</v>
      </c>
      <c r="L1258" s="1" t="s">
        <v>1100</v>
      </c>
      <c r="M1258" s="1" t="s">
        <v>1188</v>
      </c>
      <c r="N1258" t="s">
        <v>1241</v>
      </c>
    </row>
    <row r="1259" spans="1:14">
      <c r="A1259" s="1" t="s">
        <v>1825</v>
      </c>
      <c r="B1259" s="1" t="s">
        <v>1826</v>
      </c>
      <c r="C1259" s="1" t="s">
        <v>1136</v>
      </c>
      <c r="D1259" s="1" t="s">
        <v>1090</v>
      </c>
      <c r="E1259" s="1" t="s">
        <v>1082</v>
      </c>
      <c r="F1259" s="1" t="s">
        <v>1105</v>
      </c>
      <c r="G1259" s="1" t="s">
        <v>1084</v>
      </c>
      <c r="H1259">
        <v>54</v>
      </c>
      <c r="I1259" t="s">
        <v>1827</v>
      </c>
      <c r="J1259">
        <v>128791</v>
      </c>
      <c r="K1259">
        <v>0.06</v>
      </c>
      <c r="L1259" s="1" t="s">
        <v>1085</v>
      </c>
      <c r="M1259" s="1" t="s">
        <v>1137</v>
      </c>
      <c r="N1259" t="s">
        <v>1241</v>
      </c>
    </row>
    <row r="1260" spans="1:14">
      <c r="A1260" s="1" t="s">
        <v>1828</v>
      </c>
      <c r="B1260" s="1" t="s">
        <v>1829</v>
      </c>
      <c r="C1260" s="1" t="s">
        <v>1136</v>
      </c>
      <c r="D1260" s="1" t="s">
        <v>1097</v>
      </c>
      <c r="E1260" s="1" t="s">
        <v>1098</v>
      </c>
      <c r="F1260" s="1" t="s">
        <v>1105</v>
      </c>
      <c r="G1260" s="1" t="s">
        <v>1106</v>
      </c>
      <c r="H1260">
        <v>34</v>
      </c>
      <c r="I1260">
        <v>42073</v>
      </c>
      <c r="J1260">
        <v>126898</v>
      </c>
      <c r="K1260">
        <v>0.1</v>
      </c>
      <c r="L1260" s="1" t="s">
        <v>1221</v>
      </c>
      <c r="M1260" s="1" t="s">
        <v>1443</v>
      </c>
      <c r="N1260" t="s">
        <v>1241</v>
      </c>
    </row>
    <row r="1261" spans="1:14">
      <c r="A1261" s="1" t="s">
        <v>1830</v>
      </c>
      <c r="B1261" s="1" t="s">
        <v>1831</v>
      </c>
      <c r="C1261" s="1" t="s">
        <v>1528</v>
      </c>
      <c r="D1261" s="1" t="s">
        <v>1097</v>
      </c>
      <c r="E1261" s="1" t="s">
        <v>1121</v>
      </c>
      <c r="F1261" s="1" t="s">
        <v>1105</v>
      </c>
      <c r="G1261" s="1" t="s">
        <v>1106</v>
      </c>
      <c r="H1261">
        <v>53</v>
      </c>
      <c r="I1261" t="s">
        <v>1832</v>
      </c>
      <c r="J1261">
        <v>93053</v>
      </c>
      <c r="K1261">
        <v>0</v>
      </c>
      <c r="L1261" s="1" t="s">
        <v>1221</v>
      </c>
      <c r="M1261" s="1" t="s">
        <v>1298</v>
      </c>
      <c r="N1261" t="s">
        <v>1241</v>
      </c>
    </row>
    <row r="1262" spans="1:14">
      <c r="A1262" s="1" t="s">
        <v>1833</v>
      </c>
      <c r="B1262" s="1" t="s">
        <v>1834</v>
      </c>
      <c r="C1262" s="1" t="s">
        <v>1140</v>
      </c>
      <c r="D1262" s="1" t="s">
        <v>1097</v>
      </c>
      <c r="E1262" s="1" t="s">
        <v>1091</v>
      </c>
      <c r="F1262" s="1" t="s">
        <v>1105</v>
      </c>
      <c r="G1262" s="1" t="s">
        <v>1084</v>
      </c>
      <c r="H1262">
        <v>48</v>
      </c>
      <c r="I1262" t="s">
        <v>1835</v>
      </c>
      <c r="J1262">
        <v>50513</v>
      </c>
      <c r="K1262">
        <v>0</v>
      </c>
      <c r="L1262" s="1" t="s">
        <v>1085</v>
      </c>
      <c r="M1262" s="1" t="s">
        <v>1107</v>
      </c>
      <c r="N1262" t="s">
        <v>1836</v>
      </c>
    </row>
    <row r="1263" spans="1:14">
      <c r="A1263" s="1" t="s">
        <v>1837</v>
      </c>
      <c r="B1263" s="1" t="s">
        <v>1838</v>
      </c>
      <c r="C1263" s="1" t="s">
        <v>1591</v>
      </c>
      <c r="D1263" s="1" t="s">
        <v>1090</v>
      </c>
      <c r="E1263" s="1" t="s">
        <v>1091</v>
      </c>
      <c r="F1263" s="1" t="s">
        <v>1105</v>
      </c>
      <c r="G1263" s="1" t="s">
        <v>1106</v>
      </c>
      <c r="H1263">
        <v>43</v>
      </c>
      <c r="I1263">
        <v>42921</v>
      </c>
      <c r="J1263">
        <v>86533</v>
      </c>
      <c r="K1263">
        <v>0</v>
      </c>
      <c r="L1263" s="1" t="s">
        <v>1085</v>
      </c>
      <c r="M1263" s="1" t="s">
        <v>1086</v>
      </c>
      <c r="N1263" t="s">
        <v>1241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27BD-1373-4B3D-B630-CB2CB5EB2D12}">
  <dimension ref="A1:N123"/>
  <sheetViews>
    <sheetView tabSelected="1" workbookViewId="0">
      <selection activeCell="E15" sqref="E15"/>
    </sheetView>
  </sheetViews>
  <sheetFormatPr defaultRowHeight="14.4"/>
  <cols>
    <col min="1" max="1" width="18.109375" bestFit="1" customWidth="1"/>
    <col min="2" max="2" width="29.33203125" bestFit="1" customWidth="1"/>
    <col min="3" max="3" width="18" bestFit="1" customWidth="1"/>
    <col min="4" max="4" width="18.109375" bestFit="1" customWidth="1"/>
    <col min="5" max="5" width="16.33203125" bestFit="1" customWidth="1"/>
    <col min="6" max="6" width="27" bestFit="1" customWidth="1"/>
    <col min="7" max="7" width="20.6640625" bestFit="1" customWidth="1"/>
    <col min="8" max="8" width="16.109375" bestFit="1" customWidth="1"/>
    <col min="9" max="9" width="11.21875" bestFit="1" customWidth="1"/>
    <col min="10" max="10" width="12.6640625" bestFit="1" customWidth="1"/>
    <col min="11" max="11" width="11.5546875" bestFit="1" customWidth="1"/>
    <col min="12" max="12" width="26" bestFit="1" customWidth="1"/>
    <col min="13" max="13" width="12.109375" bestFit="1" customWidth="1"/>
    <col min="14" max="14" width="9.33203125" bestFit="1" customWidth="1"/>
  </cols>
  <sheetData>
    <row r="1" spans="1:14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3740</v>
      </c>
    </row>
    <row r="2" spans="1:14">
      <c r="A2">
        <v>103</v>
      </c>
      <c r="B2" s="1" t="s">
        <v>96</v>
      </c>
      <c r="C2" s="1" t="s">
        <v>97</v>
      </c>
      <c r="D2" s="1" t="s">
        <v>98</v>
      </c>
      <c r="E2" s="1" t="s">
        <v>99</v>
      </c>
      <c r="F2" s="1" t="s">
        <v>100</v>
      </c>
      <c r="G2" s="1"/>
      <c r="H2" s="1" t="s">
        <v>101</v>
      </c>
      <c r="I2" s="1"/>
      <c r="J2" s="1" t="s">
        <v>102</v>
      </c>
      <c r="K2" s="1" t="s">
        <v>103</v>
      </c>
      <c r="L2">
        <v>1370</v>
      </c>
      <c r="M2">
        <v>21000</v>
      </c>
      <c r="N2" t="s">
        <v>3741</v>
      </c>
    </row>
    <row r="3" spans="1:14">
      <c r="A3">
        <v>112</v>
      </c>
      <c r="B3" s="1" t="s">
        <v>104</v>
      </c>
      <c r="C3" s="1" t="s">
        <v>105</v>
      </c>
      <c r="D3" s="1" t="s">
        <v>106</v>
      </c>
      <c r="E3" s="1" t="s">
        <v>107</v>
      </c>
      <c r="F3" s="1" t="s">
        <v>108</v>
      </c>
      <c r="G3" s="1"/>
      <c r="H3" s="1" t="s">
        <v>109</v>
      </c>
      <c r="I3" s="1" t="s">
        <v>110</v>
      </c>
      <c r="J3" s="1" t="s">
        <v>111</v>
      </c>
      <c r="K3" s="1" t="s">
        <v>112</v>
      </c>
      <c r="L3">
        <v>1166</v>
      </c>
      <c r="M3">
        <v>71800</v>
      </c>
      <c r="N3" t="s">
        <v>3741</v>
      </c>
    </row>
    <row r="4" spans="1:14">
      <c r="A4">
        <v>114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>
        <v>1611</v>
      </c>
      <c r="M4">
        <v>117300</v>
      </c>
      <c r="N4" t="s">
        <v>3742</v>
      </c>
    </row>
    <row r="5" spans="1:14">
      <c r="A5">
        <v>119</v>
      </c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/>
      <c r="H5" s="1" t="s">
        <v>101</v>
      </c>
      <c r="I5" s="1"/>
      <c r="J5" s="1" t="s">
        <v>102</v>
      </c>
      <c r="K5" s="1" t="s">
        <v>103</v>
      </c>
      <c r="L5">
        <v>1370</v>
      </c>
      <c r="M5">
        <v>118200</v>
      </c>
      <c r="N5" t="s">
        <v>3742</v>
      </c>
    </row>
    <row r="6" spans="1:14">
      <c r="A6">
        <v>121</v>
      </c>
      <c r="B6" s="1" t="s">
        <v>128</v>
      </c>
      <c r="C6" s="1" t="s">
        <v>129</v>
      </c>
      <c r="D6" s="1" t="s">
        <v>130</v>
      </c>
      <c r="E6" s="1" t="s">
        <v>131</v>
      </c>
      <c r="F6" s="1" t="s">
        <v>132</v>
      </c>
      <c r="G6" s="1"/>
      <c r="H6" s="1" t="s">
        <v>133</v>
      </c>
      <c r="I6" s="1"/>
      <c r="J6" s="1" t="s">
        <v>134</v>
      </c>
      <c r="K6" s="1" t="s">
        <v>135</v>
      </c>
      <c r="L6">
        <v>1504</v>
      </c>
      <c r="M6">
        <v>81700</v>
      </c>
      <c r="N6" t="s">
        <v>3741</v>
      </c>
    </row>
    <row r="7" spans="1:14">
      <c r="A7">
        <v>124</v>
      </c>
      <c r="B7" s="1" t="s">
        <v>136</v>
      </c>
      <c r="C7" s="1" t="s">
        <v>137</v>
      </c>
      <c r="D7" s="1" t="s">
        <v>138</v>
      </c>
      <c r="E7" s="1" t="s">
        <v>139</v>
      </c>
      <c r="F7" s="1" t="s">
        <v>140</v>
      </c>
      <c r="G7" s="1"/>
      <c r="H7" s="1" t="s">
        <v>141</v>
      </c>
      <c r="I7" s="1" t="s">
        <v>142</v>
      </c>
      <c r="J7" s="1" t="s">
        <v>143</v>
      </c>
      <c r="K7" s="1" t="s">
        <v>112</v>
      </c>
      <c r="L7">
        <v>1165</v>
      </c>
      <c r="M7">
        <v>210500</v>
      </c>
      <c r="N7" t="s">
        <v>3742</v>
      </c>
    </row>
    <row r="8" spans="1:14">
      <c r="A8">
        <v>125</v>
      </c>
      <c r="B8" s="1" t="s">
        <v>144</v>
      </c>
      <c r="C8" s="1" t="s">
        <v>145</v>
      </c>
      <c r="D8" s="1" t="s">
        <v>146</v>
      </c>
      <c r="E8" s="1" t="s">
        <v>147</v>
      </c>
      <c r="F8" s="1" t="s">
        <v>148</v>
      </c>
      <c r="G8" s="1"/>
      <c r="H8" s="1" t="s">
        <v>149</v>
      </c>
      <c r="I8" s="1"/>
      <c r="J8" s="1" t="s">
        <v>150</v>
      </c>
      <c r="K8" s="1" t="s">
        <v>151</v>
      </c>
      <c r="M8">
        <v>0</v>
      </c>
      <c r="N8" t="s">
        <v>3741</v>
      </c>
    </row>
    <row r="9" spans="1:14">
      <c r="A9">
        <v>128</v>
      </c>
      <c r="B9" s="1" t="s">
        <v>152</v>
      </c>
      <c r="C9" s="1" t="s">
        <v>153</v>
      </c>
      <c r="D9" s="1" t="s">
        <v>154</v>
      </c>
      <c r="E9" s="1" t="s">
        <v>155</v>
      </c>
      <c r="F9" s="1" t="s">
        <v>156</v>
      </c>
      <c r="G9" s="1"/>
      <c r="H9" s="1" t="s">
        <v>157</v>
      </c>
      <c r="I9" s="1"/>
      <c r="J9" s="1" t="s">
        <v>158</v>
      </c>
      <c r="K9" s="1" t="s">
        <v>159</v>
      </c>
      <c r="L9">
        <v>1504</v>
      </c>
      <c r="M9">
        <v>59700</v>
      </c>
      <c r="N9" t="s">
        <v>3741</v>
      </c>
    </row>
    <row r="10" spans="1:14">
      <c r="A10">
        <v>129</v>
      </c>
      <c r="B10" s="1" t="s">
        <v>160</v>
      </c>
      <c r="C10" s="1" t="s">
        <v>161</v>
      </c>
      <c r="D10" s="1" t="s">
        <v>162</v>
      </c>
      <c r="E10" s="1" t="s">
        <v>163</v>
      </c>
      <c r="F10" s="1" t="s">
        <v>164</v>
      </c>
      <c r="G10" s="1"/>
      <c r="H10" s="1" t="s">
        <v>165</v>
      </c>
      <c r="I10" s="1" t="s">
        <v>142</v>
      </c>
      <c r="J10" s="1" t="s">
        <v>166</v>
      </c>
      <c r="K10" s="1" t="s">
        <v>112</v>
      </c>
      <c r="L10">
        <v>1165</v>
      </c>
      <c r="M10">
        <v>64600</v>
      </c>
      <c r="N10" t="s">
        <v>3741</v>
      </c>
    </row>
    <row r="11" spans="1:14">
      <c r="A11">
        <v>131</v>
      </c>
      <c r="B11" s="1" t="s">
        <v>167</v>
      </c>
      <c r="C11" s="1" t="s">
        <v>168</v>
      </c>
      <c r="D11" s="1" t="s">
        <v>169</v>
      </c>
      <c r="E11" s="1" t="s">
        <v>170</v>
      </c>
      <c r="F11" s="1" t="s">
        <v>171</v>
      </c>
      <c r="G11" s="1"/>
      <c r="H11" s="1" t="s">
        <v>172</v>
      </c>
      <c r="I11" s="1" t="s">
        <v>173</v>
      </c>
      <c r="J11" s="1" t="s">
        <v>174</v>
      </c>
      <c r="K11" s="1" t="s">
        <v>112</v>
      </c>
      <c r="L11">
        <v>1323</v>
      </c>
      <c r="M11">
        <v>114900</v>
      </c>
      <c r="N11" t="s">
        <v>3742</v>
      </c>
    </row>
    <row r="12" spans="1:14">
      <c r="A12">
        <v>141</v>
      </c>
      <c r="B12" s="1" t="s">
        <v>175</v>
      </c>
      <c r="C12" s="1" t="s">
        <v>176</v>
      </c>
      <c r="D12" s="1" t="s">
        <v>177</v>
      </c>
      <c r="E12" s="1" t="s">
        <v>178</v>
      </c>
      <c r="F12" s="1" t="s">
        <v>179</v>
      </c>
      <c r="G12" s="1"/>
      <c r="H12" s="1" t="s">
        <v>180</v>
      </c>
      <c r="I12" s="1"/>
      <c r="J12" s="1" t="s">
        <v>181</v>
      </c>
      <c r="K12" s="1" t="s">
        <v>182</v>
      </c>
      <c r="L12">
        <v>1370</v>
      </c>
      <c r="M12">
        <v>227600</v>
      </c>
      <c r="N12" t="s">
        <v>3742</v>
      </c>
    </row>
    <row r="13" spans="1:14">
      <c r="A13">
        <v>144</v>
      </c>
      <c r="B13" s="1" t="s">
        <v>183</v>
      </c>
      <c r="C13" s="1" t="s">
        <v>184</v>
      </c>
      <c r="D13" s="1" t="s">
        <v>185</v>
      </c>
      <c r="E13" s="1" t="s">
        <v>186</v>
      </c>
      <c r="F13" s="1" t="s">
        <v>187</v>
      </c>
      <c r="G13" s="1"/>
      <c r="H13" s="1" t="s">
        <v>188</v>
      </c>
      <c r="I13" s="1"/>
      <c r="J13" s="1" t="s">
        <v>189</v>
      </c>
      <c r="K13" s="1" t="s">
        <v>190</v>
      </c>
      <c r="L13">
        <v>1504</v>
      </c>
      <c r="M13">
        <v>53100</v>
      </c>
      <c r="N13" t="s">
        <v>3741</v>
      </c>
    </row>
    <row r="14" spans="1:14">
      <c r="A14">
        <v>145</v>
      </c>
      <c r="B14" s="1" t="s">
        <v>191</v>
      </c>
      <c r="C14" s="1" t="s">
        <v>192</v>
      </c>
      <c r="D14" s="1" t="s">
        <v>193</v>
      </c>
      <c r="E14" s="1" t="s">
        <v>194</v>
      </c>
      <c r="F14" s="1" t="s">
        <v>195</v>
      </c>
      <c r="G14" s="1"/>
      <c r="H14" s="1" t="s">
        <v>196</v>
      </c>
      <c r="I14" s="1"/>
      <c r="J14" s="1" t="s">
        <v>197</v>
      </c>
      <c r="K14" s="1" t="s">
        <v>198</v>
      </c>
      <c r="L14">
        <v>1401</v>
      </c>
      <c r="M14">
        <v>83400</v>
      </c>
      <c r="N14" t="s">
        <v>3741</v>
      </c>
    </row>
    <row r="15" spans="1:14">
      <c r="A15">
        <v>146</v>
      </c>
      <c r="B15" s="1" t="s">
        <v>199</v>
      </c>
      <c r="C15" s="1" t="s">
        <v>200</v>
      </c>
      <c r="D15" s="1" t="s">
        <v>201</v>
      </c>
      <c r="E15" s="1" t="s">
        <v>202</v>
      </c>
      <c r="F15" s="1" t="s">
        <v>203</v>
      </c>
      <c r="G15" s="1"/>
      <c r="H15" s="1" t="s">
        <v>204</v>
      </c>
      <c r="I15" s="1"/>
      <c r="J15" s="1" t="s">
        <v>205</v>
      </c>
      <c r="K15" s="1" t="s">
        <v>103</v>
      </c>
      <c r="L15">
        <v>1337</v>
      </c>
      <c r="M15">
        <v>123900</v>
      </c>
      <c r="N15" t="s">
        <v>3742</v>
      </c>
    </row>
    <row r="16" spans="1:14">
      <c r="A16">
        <v>148</v>
      </c>
      <c r="B16" s="1" t="s">
        <v>206</v>
      </c>
      <c r="C16" s="1" t="s">
        <v>207</v>
      </c>
      <c r="D16" s="1" t="s">
        <v>208</v>
      </c>
      <c r="E16" s="1" t="s">
        <v>209</v>
      </c>
      <c r="F16" s="1" t="s">
        <v>210</v>
      </c>
      <c r="G16" s="1" t="s">
        <v>211</v>
      </c>
      <c r="H16" s="1" t="s">
        <v>212</v>
      </c>
      <c r="I16" s="1"/>
      <c r="J16" s="1" t="s">
        <v>213</v>
      </c>
      <c r="K16" s="1" t="s">
        <v>212</v>
      </c>
      <c r="L16">
        <v>1621</v>
      </c>
      <c r="M16">
        <v>103800</v>
      </c>
      <c r="N16" t="s">
        <v>3742</v>
      </c>
    </row>
    <row r="17" spans="1:14">
      <c r="A17">
        <v>151</v>
      </c>
      <c r="B17" s="1" t="s">
        <v>214</v>
      </c>
      <c r="C17" s="1" t="s">
        <v>215</v>
      </c>
      <c r="D17" s="1" t="s">
        <v>216</v>
      </c>
      <c r="E17" s="1" t="s">
        <v>217</v>
      </c>
      <c r="F17" s="1" t="s">
        <v>218</v>
      </c>
      <c r="G17" s="1" t="s">
        <v>219</v>
      </c>
      <c r="H17" s="1" t="s">
        <v>172</v>
      </c>
      <c r="I17" s="1" t="s">
        <v>173</v>
      </c>
      <c r="J17" s="1" t="s">
        <v>174</v>
      </c>
      <c r="K17" s="1" t="s">
        <v>112</v>
      </c>
      <c r="L17">
        <v>1286</v>
      </c>
      <c r="M17">
        <v>138500</v>
      </c>
      <c r="N17" t="s">
        <v>3742</v>
      </c>
    </row>
    <row r="18" spans="1:14">
      <c r="A18">
        <v>157</v>
      </c>
      <c r="B18" s="1" t="s">
        <v>220</v>
      </c>
      <c r="C18" s="1" t="s">
        <v>221</v>
      </c>
      <c r="D18" s="1" t="s">
        <v>222</v>
      </c>
      <c r="E18" s="1" t="s">
        <v>223</v>
      </c>
      <c r="F18" s="1" t="s">
        <v>224</v>
      </c>
      <c r="G18" s="1"/>
      <c r="H18" s="1" t="s">
        <v>225</v>
      </c>
      <c r="I18" s="1" t="s">
        <v>226</v>
      </c>
      <c r="J18" s="1" t="s">
        <v>227</v>
      </c>
      <c r="K18" s="1" t="s">
        <v>112</v>
      </c>
      <c r="L18">
        <v>1216</v>
      </c>
      <c r="M18">
        <v>100600</v>
      </c>
      <c r="N18" t="s">
        <v>3742</v>
      </c>
    </row>
    <row r="19" spans="1:14">
      <c r="A19">
        <v>161</v>
      </c>
      <c r="B19" s="1" t="s">
        <v>228</v>
      </c>
      <c r="C19" s="1" t="s">
        <v>229</v>
      </c>
      <c r="D19" s="1" t="s">
        <v>230</v>
      </c>
      <c r="E19" s="1" t="s">
        <v>231</v>
      </c>
      <c r="F19" s="1" t="s">
        <v>232</v>
      </c>
      <c r="G19" s="1"/>
      <c r="H19" s="1" t="s">
        <v>233</v>
      </c>
      <c r="I19" s="1" t="s">
        <v>142</v>
      </c>
      <c r="J19" s="1" t="s">
        <v>166</v>
      </c>
      <c r="K19" s="1" t="s">
        <v>112</v>
      </c>
      <c r="L19">
        <v>1165</v>
      </c>
      <c r="M19">
        <v>84600</v>
      </c>
      <c r="N19" t="s">
        <v>3741</v>
      </c>
    </row>
    <row r="20" spans="1:14">
      <c r="A20">
        <v>166</v>
      </c>
      <c r="B20" s="1" t="s">
        <v>234</v>
      </c>
      <c r="C20" s="1" t="s">
        <v>235</v>
      </c>
      <c r="D20" s="1" t="s">
        <v>236</v>
      </c>
      <c r="E20" s="1" t="s">
        <v>237</v>
      </c>
      <c r="F20" s="1" t="s">
        <v>238</v>
      </c>
      <c r="G20" s="1" t="s">
        <v>239</v>
      </c>
      <c r="H20" s="1" t="s">
        <v>212</v>
      </c>
      <c r="I20" s="1"/>
      <c r="J20" s="1" t="s">
        <v>240</v>
      </c>
      <c r="K20" s="1" t="s">
        <v>212</v>
      </c>
      <c r="L20">
        <v>1612</v>
      </c>
      <c r="M20">
        <v>97900</v>
      </c>
      <c r="N20" t="s">
        <v>3741</v>
      </c>
    </row>
    <row r="21" spans="1:14">
      <c r="A21">
        <v>167</v>
      </c>
      <c r="B21" s="1" t="s">
        <v>241</v>
      </c>
      <c r="C21" s="1" t="s">
        <v>242</v>
      </c>
      <c r="D21" s="1" t="s">
        <v>243</v>
      </c>
      <c r="E21" s="1" t="s">
        <v>244</v>
      </c>
      <c r="F21" s="1" t="s">
        <v>245</v>
      </c>
      <c r="G21" s="1" t="s">
        <v>246</v>
      </c>
      <c r="H21" s="1" t="s">
        <v>247</v>
      </c>
      <c r="I21" s="1"/>
      <c r="J21" s="1" t="s">
        <v>248</v>
      </c>
      <c r="K21" s="1" t="s">
        <v>249</v>
      </c>
      <c r="L21">
        <v>1504</v>
      </c>
      <c r="M21">
        <v>96800</v>
      </c>
      <c r="N21" t="s">
        <v>3741</v>
      </c>
    </row>
    <row r="22" spans="1:14">
      <c r="A22">
        <v>168</v>
      </c>
      <c r="B22" s="1" t="s">
        <v>250</v>
      </c>
      <c r="C22" s="1" t="s">
        <v>251</v>
      </c>
      <c r="D22" s="1" t="s">
        <v>252</v>
      </c>
      <c r="E22" s="1" t="s">
        <v>253</v>
      </c>
      <c r="F22" s="1" t="s">
        <v>254</v>
      </c>
      <c r="G22" s="1" t="s">
        <v>255</v>
      </c>
      <c r="H22" s="1" t="s">
        <v>256</v>
      </c>
      <c r="I22" s="1" t="s">
        <v>257</v>
      </c>
      <c r="J22" s="1" t="s">
        <v>258</v>
      </c>
      <c r="K22" s="1" t="s">
        <v>112</v>
      </c>
      <c r="L22">
        <v>1286</v>
      </c>
      <c r="M22">
        <v>0</v>
      </c>
      <c r="N22" t="s">
        <v>3741</v>
      </c>
    </row>
    <row r="23" spans="1:14">
      <c r="A23">
        <v>169</v>
      </c>
      <c r="B23" s="1" t="s">
        <v>259</v>
      </c>
      <c r="C23" s="1" t="s">
        <v>260</v>
      </c>
      <c r="D23" s="1" t="s">
        <v>261</v>
      </c>
      <c r="E23" s="1" t="s">
        <v>262</v>
      </c>
      <c r="F23" s="1" t="s">
        <v>263</v>
      </c>
      <c r="G23" s="1"/>
      <c r="H23" s="1" t="s">
        <v>264</v>
      </c>
      <c r="I23" s="1"/>
      <c r="J23" s="1" t="s">
        <v>265</v>
      </c>
      <c r="K23" s="1" t="s">
        <v>266</v>
      </c>
      <c r="M23">
        <v>0</v>
      </c>
      <c r="N23" t="s">
        <v>3741</v>
      </c>
    </row>
    <row r="24" spans="1:14">
      <c r="A24">
        <v>171</v>
      </c>
      <c r="B24" s="1" t="s">
        <v>267</v>
      </c>
      <c r="C24" s="1" t="s">
        <v>268</v>
      </c>
      <c r="D24" s="1" t="s">
        <v>269</v>
      </c>
      <c r="E24" s="1" t="s">
        <v>270</v>
      </c>
      <c r="F24" s="1" t="s">
        <v>271</v>
      </c>
      <c r="G24" s="1"/>
      <c r="H24" s="1" t="s">
        <v>272</v>
      </c>
      <c r="I24" s="1"/>
      <c r="J24" s="1" t="s">
        <v>273</v>
      </c>
      <c r="K24" s="1" t="s">
        <v>103</v>
      </c>
      <c r="L24">
        <v>1370</v>
      </c>
      <c r="M24">
        <v>82900</v>
      </c>
      <c r="N24" t="s">
        <v>3741</v>
      </c>
    </row>
    <row r="25" spans="1:14">
      <c r="A25">
        <v>172</v>
      </c>
      <c r="B25" s="1" t="s">
        <v>274</v>
      </c>
      <c r="C25" s="1" t="s">
        <v>275</v>
      </c>
      <c r="D25" s="1" t="s">
        <v>276</v>
      </c>
      <c r="E25" s="1" t="s">
        <v>277</v>
      </c>
      <c r="F25" s="1" t="s">
        <v>278</v>
      </c>
      <c r="G25" s="1"/>
      <c r="H25" s="1" t="s">
        <v>279</v>
      </c>
      <c r="I25" s="1"/>
      <c r="J25" s="1" t="s">
        <v>280</v>
      </c>
      <c r="K25" s="1" t="s">
        <v>103</v>
      </c>
      <c r="L25">
        <v>1337</v>
      </c>
      <c r="M25">
        <v>84300</v>
      </c>
      <c r="N25" t="s">
        <v>3741</v>
      </c>
    </row>
    <row r="26" spans="1:14">
      <c r="A26">
        <v>173</v>
      </c>
      <c r="B26" s="1" t="s">
        <v>281</v>
      </c>
      <c r="C26" s="1" t="s">
        <v>282</v>
      </c>
      <c r="D26" s="1" t="s">
        <v>283</v>
      </c>
      <c r="E26" s="1" t="s">
        <v>284</v>
      </c>
      <c r="F26" s="1" t="s">
        <v>285</v>
      </c>
      <c r="G26" s="1"/>
      <c r="H26" s="1" t="s">
        <v>286</v>
      </c>
      <c r="I26" s="1" t="s">
        <v>287</v>
      </c>
      <c r="J26" s="1" t="s">
        <v>288</v>
      </c>
      <c r="K26" s="1" t="s">
        <v>112</v>
      </c>
      <c r="L26">
        <v>1188</v>
      </c>
      <c r="M26">
        <v>43400</v>
      </c>
      <c r="N26" t="s">
        <v>3741</v>
      </c>
    </row>
    <row r="27" spans="1:14">
      <c r="A27">
        <v>175</v>
      </c>
      <c r="B27" s="1" t="s">
        <v>289</v>
      </c>
      <c r="C27" s="1" t="s">
        <v>105</v>
      </c>
      <c r="D27" s="1" t="s">
        <v>162</v>
      </c>
      <c r="E27" s="1" t="s">
        <v>290</v>
      </c>
      <c r="F27" s="1" t="s">
        <v>291</v>
      </c>
      <c r="G27" s="1"/>
      <c r="H27" s="1" t="s">
        <v>292</v>
      </c>
      <c r="I27" s="1" t="s">
        <v>257</v>
      </c>
      <c r="J27" s="1" t="s">
        <v>143</v>
      </c>
      <c r="K27" s="1" t="s">
        <v>112</v>
      </c>
      <c r="L27">
        <v>1323</v>
      </c>
      <c r="M27">
        <v>84300</v>
      </c>
      <c r="N27" t="s">
        <v>3741</v>
      </c>
    </row>
    <row r="28" spans="1:14">
      <c r="A28">
        <v>177</v>
      </c>
      <c r="B28" s="1" t="s">
        <v>293</v>
      </c>
      <c r="C28" s="1" t="s">
        <v>294</v>
      </c>
      <c r="D28" s="1" t="s">
        <v>295</v>
      </c>
      <c r="E28" s="1" t="s">
        <v>296</v>
      </c>
      <c r="F28" s="1" t="s">
        <v>297</v>
      </c>
      <c r="G28" s="1"/>
      <c r="H28" s="1" t="s">
        <v>298</v>
      </c>
      <c r="I28" s="1" t="s">
        <v>299</v>
      </c>
      <c r="J28" s="1" t="s">
        <v>300</v>
      </c>
      <c r="K28" s="1" t="s">
        <v>301</v>
      </c>
      <c r="L28">
        <v>1621</v>
      </c>
      <c r="M28">
        <v>81200</v>
      </c>
      <c r="N28" t="s">
        <v>3741</v>
      </c>
    </row>
    <row r="29" spans="1:14">
      <c r="A29">
        <v>181</v>
      </c>
      <c r="B29" s="1" t="s">
        <v>302</v>
      </c>
      <c r="C29" s="1" t="s">
        <v>303</v>
      </c>
      <c r="D29" s="1" t="s">
        <v>304</v>
      </c>
      <c r="E29" s="1" t="s">
        <v>305</v>
      </c>
      <c r="F29" s="1" t="s">
        <v>306</v>
      </c>
      <c r="G29" s="1" t="s">
        <v>255</v>
      </c>
      <c r="H29" s="1" t="s">
        <v>172</v>
      </c>
      <c r="I29" s="1" t="s">
        <v>173</v>
      </c>
      <c r="J29" s="1" t="s">
        <v>174</v>
      </c>
      <c r="K29" s="1" t="s">
        <v>112</v>
      </c>
      <c r="L29">
        <v>1286</v>
      </c>
      <c r="M29">
        <v>76400</v>
      </c>
      <c r="N29" t="s">
        <v>3741</v>
      </c>
    </row>
    <row r="30" spans="1:14">
      <c r="A30">
        <v>186</v>
      </c>
      <c r="B30" s="1" t="s">
        <v>307</v>
      </c>
      <c r="C30" s="1" t="s">
        <v>308</v>
      </c>
      <c r="D30" s="1" t="s">
        <v>309</v>
      </c>
      <c r="E30" s="1" t="s">
        <v>310</v>
      </c>
      <c r="F30" s="1" t="s">
        <v>311</v>
      </c>
      <c r="G30" s="1"/>
      <c r="H30" s="1" t="s">
        <v>312</v>
      </c>
      <c r="I30" s="1"/>
      <c r="J30" s="1" t="s">
        <v>313</v>
      </c>
      <c r="K30" s="1" t="s">
        <v>314</v>
      </c>
      <c r="L30">
        <v>1501</v>
      </c>
      <c r="M30">
        <v>96500</v>
      </c>
      <c r="N30" t="s">
        <v>3741</v>
      </c>
    </row>
    <row r="31" spans="1:14">
      <c r="A31">
        <v>187</v>
      </c>
      <c r="B31" s="1" t="s">
        <v>315</v>
      </c>
      <c r="C31" s="1" t="s">
        <v>316</v>
      </c>
      <c r="D31" s="1" t="s">
        <v>317</v>
      </c>
      <c r="E31" s="1" t="s">
        <v>318</v>
      </c>
      <c r="F31" s="1" t="s">
        <v>319</v>
      </c>
      <c r="G31" s="1"/>
      <c r="H31" s="1" t="s">
        <v>320</v>
      </c>
      <c r="I31" s="1"/>
      <c r="J31" s="1" t="s">
        <v>321</v>
      </c>
      <c r="K31" s="1" t="s">
        <v>322</v>
      </c>
      <c r="L31">
        <v>1501</v>
      </c>
      <c r="M31">
        <v>136800</v>
      </c>
      <c r="N31" t="s">
        <v>3742</v>
      </c>
    </row>
    <row r="32" spans="1:14">
      <c r="A32">
        <v>189</v>
      </c>
      <c r="B32" s="1" t="s">
        <v>323</v>
      </c>
      <c r="C32" s="1" t="s">
        <v>324</v>
      </c>
      <c r="D32" s="1" t="s">
        <v>325</v>
      </c>
      <c r="E32" s="1" t="s">
        <v>326</v>
      </c>
      <c r="F32" s="1" t="s">
        <v>327</v>
      </c>
      <c r="G32" s="1" t="s">
        <v>328</v>
      </c>
      <c r="H32" s="1" t="s">
        <v>329</v>
      </c>
      <c r="I32" s="1"/>
      <c r="J32" s="1" t="s">
        <v>330</v>
      </c>
      <c r="K32" s="1" t="s">
        <v>331</v>
      </c>
      <c r="L32">
        <v>1504</v>
      </c>
      <c r="M32">
        <v>69400</v>
      </c>
      <c r="N32" t="s">
        <v>3741</v>
      </c>
    </row>
    <row r="33" spans="1:14">
      <c r="A33">
        <v>198</v>
      </c>
      <c r="B33" s="1" t="s">
        <v>332</v>
      </c>
      <c r="C33" s="1" t="s">
        <v>333</v>
      </c>
      <c r="D33" s="1" t="s">
        <v>334</v>
      </c>
      <c r="E33" s="1" t="s">
        <v>335</v>
      </c>
      <c r="F33" s="1" t="s">
        <v>336</v>
      </c>
      <c r="G33" s="1"/>
      <c r="H33" s="1" t="s">
        <v>337</v>
      </c>
      <c r="I33" s="1" t="s">
        <v>287</v>
      </c>
      <c r="J33" s="1" t="s">
        <v>338</v>
      </c>
      <c r="K33" s="1" t="s">
        <v>112</v>
      </c>
      <c r="L33">
        <v>1216</v>
      </c>
      <c r="M33">
        <v>23000</v>
      </c>
      <c r="N33" t="s">
        <v>3741</v>
      </c>
    </row>
    <row r="34" spans="1:14">
      <c r="A34">
        <v>201</v>
      </c>
      <c r="B34" s="1" t="s">
        <v>339</v>
      </c>
      <c r="C34" s="1" t="s">
        <v>340</v>
      </c>
      <c r="D34" s="1" t="s">
        <v>341</v>
      </c>
      <c r="E34" s="1" t="s">
        <v>342</v>
      </c>
      <c r="F34" s="1" t="s">
        <v>343</v>
      </c>
      <c r="G34" s="1"/>
      <c r="H34" s="1" t="s">
        <v>344</v>
      </c>
      <c r="I34" s="1"/>
      <c r="J34" s="1" t="s">
        <v>345</v>
      </c>
      <c r="K34" s="1" t="s">
        <v>322</v>
      </c>
      <c r="L34">
        <v>1501</v>
      </c>
      <c r="M34">
        <v>92700</v>
      </c>
      <c r="N34" t="s">
        <v>3741</v>
      </c>
    </row>
    <row r="35" spans="1:14">
      <c r="A35">
        <v>202</v>
      </c>
      <c r="B35" s="1" t="s">
        <v>346</v>
      </c>
      <c r="C35" s="1" t="s">
        <v>347</v>
      </c>
      <c r="D35" s="1" t="s">
        <v>348</v>
      </c>
      <c r="E35" s="1" t="s">
        <v>349</v>
      </c>
      <c r="F35" s="1" t="s">
        <v>350</v>
      </c>
      <c r="G35" s="1"/>
      <c r="H35" s="1" t="s">
        <v>351</v>
      </c>
      <c r="I35" s="1" t="s">
        <v>352</v>
      </c>
      <c r="J35" s="1" t="s">
        <v>353</v>
      </c>
      <c r="K35" s="1" t="s">
        <v>354</v>
      </c>
      <c r="L35">
        <v>1323</v>
      </c>
      <c r="M35">
        <v>90300</v>
      </c>
      <c r="N35" t="s">
        <v>3741</v>
      </c>
    </row>
    <row r="36" spans="1:14">
      <c r="A36">
        <v>204</v>
      </c>
      <c r="B36" s="1" t="s">
        <v>355</v>
      </c>
      <c r="C36" s="1" t="s">
        <v>356</v>
      </c>
      <c r="D36" s="1" t="s">
        <v>357</v>
      </c>
      <c r="E36" s="1" t="s">
        <v>358</v>
      </c>
      <c r="F36" s="1" t="s">
        <v>359</v>
      </c>
      <c r="G36" s="1"/>
      <c r="H36" s="1" t="s">
        <v>337</v>
      </c>
      <c r="I36" s="1" t="s">
        <v>287</v>
      </c>
      <c r="J36" s="1" t="s">
        <v>338</v>
      </c>
      <c r="K36" s="1" t="s">
        <v>112</v>
      </c>
      <c r="L36">
        <v>1188</v>
      </c>
      <c r="M36">
        <v>68700</v>
      </c>
      <c r="N36" t="s">
        <v>3741</v>
      </c>
    </row>
    <row r="37" spans="1:14">
      <c r="A37">
        <v>205</v>
      </c>
      <c r="B37" s="1" t="s">
        <v>360</v>
      </c>
      <c r="C37" s="1" t="s">
        <v>215</v>
      </c>
      <c r="D37" s="1" t="s">
        <v>162</v>
      </c>
      <c r="E37" s="1" t="s">
        <v>361</v>
      </c>
      <c r="F37" s="1" t="s">
        <v>362</v>
      </c>
      <c r="G37" s="1"/>
      <c r="H37" s="1" t="s">
        <v>363</v>
      </c>
      <c r="I37" s="1" t="s">
        <v>142</v>
      </c>
      <c r="J37" s="1" t="s">
        <v>364</v>
      </c>
      <c r="K37" s="1" t="s">
        <v>112</v>
      </c>
      <c r="L37">
        <v>1166</v>
      </c>
      <c r="M37">
        <v>90700</v>
      </c>
      <c r="N37" t="s">
        <v>3741</v>
      </c>
    </row>
    <row r="38" spans="1:14">
      <c r="A38">
        <v>206</v>
      </c>
      <c r="B38" s="1" t="s">
        <v>365</v>
      </c>
      <c r="C38" s="1" t="s">
        <v>366</v>
      </c>
      <c r="D38" s="1" t="s">
        <v>367</v>
      </c>
      <c r="E38" s="1" t="s">
        <v>368</v>
      </c>
      <c r="F38" s="1" t="s">
        <v>369</v>
      </c>
      <c r="G38" s="1" t="s">
        <v>370</v>
      </c>
      <c r="H38" s="1" t="s">
        <v>212</v>
      </c>
      <c r="I38" s="1"/>
      <c r="J38" s="1" t="s">
        <v>371</v>
      </c>
      <c r="K38" s="1" t="s">
        <v>212</v>
      </c>
      <c r="M38">
        <v>0</v>
      </c>
      <c r="N38" t="s">
        <v>3741</v>
      </c>
    </row>
    <row r="39" spans="1:14">
      <c r="A39">
        <v>209</v>
      </c>
      <c r="B39" s="1" t="s">
        <v>372</v>
      </c>
      <c r="C39" s="1" t="s">
        <v>373</v>
      </c>
      <c r="D39" s="1" t="s">
        <v>374</v>
      </c>
      <c r="E39" s="1" t="s">
        <v>375</v>
      </c>
      <c r="F39" s="1" t="s">
        <v>376</v>
      </c>
      <c r="G39" s="1"/>
      <c r="H39" s="1" t="s">
        <v>377</v>
      </c>
      <c r="I39" s="1"/>
      <c r="J39" s="1" t="s">
        <v>378</v>
      </c>
      <c r="K39" s="1" t="s">
        <v>103</v>
      </c>
      <c r="L39">
        <v>1370</v>
      </c>
      <c r="M39">
        <v>53800</v>
      </c>
      <c r="N39" t="s">
        <v>3741</v>
      </c>
    </row>
    <row r="40" spans="1:14">
      <c r="A40">
        <v>211</v>
      </c>
      <c r="B40" s="1" t="s">
        <v>379</v>
      </c>
      <c r="C40" s="1" t="s">
        <v>380</v>
      </c>
      <c r="D40" s="1" t="s">
        <v>381</v>
      </c>
      <c r="E40" s="1" t="s">
        <v>382</v>
      </c>
      <c r="F40" s="1" t="s">
        <v>383</v>
      </c>
      <c r="G40" s="1" t="s">
        <v>384</v>
      </c>
      <c r="H40" s="1" t="s">
        <v>385</v>
      </c>
      <c r="I40" s="1"/>
      <c r="J40" s="1"/>
      <c r="K40" s="1" t="s">
        <v>386</v>
      </c>
      <c r="L40">
        <v>1621</v>
      </c>
      <c r="M40">
        <v>58600</v>
      </c>
      <c r="N40" t="s">
        <v>3741</v>
      </c>
    </row>
    <row r="41" spans="1:14">
      <c r="A41">
        <v>216</v>
      </c>
      <c r="B41" s="1" t="s">
        <v>387</v>
      </c>
      <c r="C41" s="1" t="s">
        <v>388</v>
      </c>
      <c r="D41" s="1" t="s">
        <v>389</v>
      </c>
      <c r="E41" s="1" t="s">
        <v>390</v>
      </c>
      <c r="F41" s="1" t="s">
        <v>391</v>
      </c>
      <c r="G41" s="1"/>
      <c r="H41" s="1" t="s">
        <v>392</v>
      </c>
      <c r="I41" s="1"/>
      <c r="J41" s="1" t="s">
        <v>393</v>
      </c>
      <c r="K41" s="1" t="s">
        <v>182</v>
      </c>
      <c r="L41">
        <v>1702</v>
      </c>
      <c r="M41">
        <v>60300</v>
      </c>
      <c r="N41" t="s">
        <v>3741</v>
      </c>
    </row>
    <row r="42" spans="1:14">
      <c r="A42">
        <v>219</v>
      </c>
      <c r="B42" s="1" t="s">
        <v>394</v>
      </c>
      <c r="C42" s="1" t="s">
        <v>215</v>
      </c>
      <c r="D42" s="1" t="s">
        <v>395</v>
      </c>
      <c r="E42" s="1" t="s">
        <v>396</v>
      </c>
      <c r="F42" s="1" t="s">
        <v>397</v>
      </c>
      <c r="G42" s="1"/>
      <c r="H42" s="1" t="s">
        <v>398</v>
      </c>
      <c r="I42" s="1" t="s">
        <v>142</v>
      </c>
      <c r="J42" s="1" t="s">
        <v>399</v>
      </c>
      <c r="K42" s="1" t="s">
        <v>112</v>
      </c>
      <c r="L42">
        <v>1166</v>
      </c>
      <c r="M42">
        <v>11000</v>
      </c>
      <c r="N42" t="s">
        <v>3741</v>
      </c>
    </row>
    <row r="43" spans="1:14">
      <c r="A43">
        <v>223</v>
      </c>
      <c r="B43" s="1" t="s">
        <v>400</v>
      </c>
      <c r="C43" s="1" t="s">
        <v>401</v>
      </c>
      <c r="D43" s="1" t="s">
        <v>402</v>
      </c>
      <c r="E43" s="1" t="s">
        <v>403</v>
      </c>
      <c r="F43" s="1" t="s">
        <v>404</v>
      </c>
      <c r="G43" s="1"/>
      <c r="H43" s="1" t="s">
        <v>405</v>
      </c>
      <c r="I43" s="1"/>
      <c r="J43" s="1" t="s">
        <v>406</v>
      </c>
      <c r="K43" s="1" t="s">
        <v>159</v>
      </c>
      <c r="M43">
        <v>0</v>
      </c>
      <c r="N43" t="s">
        <v>3741</v>
      </c>
    </row>
    <row r="44" spans="1:14">
      <c r="A44">
        <v>227</v>
      </c>
      <c r="B44" s="1" t="s">
        <v>407</v>
      </c>
      <c r="C44" s="1" t="s">
        <v>408</v>
      </c>
      <c r="D44" s="1" t="s">
        <v>409</v>
      </c>
      <c r="E44" s="1" t="s">
        <v>410</v>
      </c>
      <c r="F44" s="1" t="s">
        <v>411</v>
      </c>
      <c r="G44" s="1"/>
      <c r="H44" s="1" t="s">
        <v>412</v>
      </c>
      <c r="I44" s="1"/>
      <c r="J44" s="1" t="s">
        <v>413</v>
      </c>
      <c r="K44" s="1" t="s">
        <v>198</v>
      </c>
      <c r="L44">
        <v>1401</v>
      </c>
      <c r="M44">
        <v>120800</v>
      </c>
      <c r="N44" t="s">
        <v>3742</v>
      </c>
    </row>
    <row r="45" spans="1:14">
      <c r="A45">
        <v>233</v>
      </c>
      <c r="B45" s="1" t="s">
        <v>414</v>
      </c>
      <c r="C45" s="1" t="s">
        <v>415</v>
      </c>
      <c r="D45" s="1" t="s">
        <v>416</v>
      </c>
      <c r="E45" s="1" t="s">
        <v>417</v>
      </c>
      <c r="F45" s="1" t="s">
        <v>418</v>
      </c>
      <c r="G45" s="1"/>
      <c r="H45" s="1" t="s">
        <v>419</v>
      </c>
      <c r="I45" s="1" t="s">
        <v>420</v>
      </c>
      <c r="J45" s="1" t="s">
        <v>421</v>
      </c>
      <c r="K45" s="1" t="s">
        <v>354</v>
      </c>
      <c r="L45">
        <v>1286</v>
      </c>
      <c r="M45">
        <v>48700</v>
      </c>
      <c r="N45" t="s">
        <v>3741</v>
      </c>
    </row>
    <row r="46" spans="1:14">
      <c r="A46">
        <v>237</v>
      </c>
      <c r="B46" s="1" t="s">
        <v>422</v>
      </c>
      <c r="C46" s="1" t="s">
        <v>423</v>
      </c>
      <c r="D46" s="1" t="s">
        <v>424</v>
      </c>
      <c r="E46" s="1" t="s">
        <v>425</v>
      </c>
      <c r="F46" s="1" t="s">
        <v>426</v>
      </c>
      <c r="G46" s="1"/>
      <c r="H46" s="1" t="s">
        <v>180</v>
      </c>
      <c r="I46" s="1"/>
      <c r="J46" s="1" t="s">
        <v>427</v>
      </c>
      <c r="K46" s="1" t="s">
        <v>182</v>
      </c>
      <c r="M46">
        <v>0</v>
      </c>
      <c r="N46" t="s">
        <v>3741</v>
      </c>
    </row>
    <row r="47" spans="1:14">
      <c r="A47">
        <v>239</v>
      </c>
      <c r="B47" s="1" t="s">
        <v>428</v>
      </c>
      <c r="C47" s="1" t="s">
        <v>429</v>
      </c>
      <c r="D47" s="1" t="s">
        <v>430</v>
      </c>
      <c r="E47" s="1" t="s">
        <v>431</v>
      </c>
      <c r="F47" s="1" t="s">
        <v>432</v>
      </c>
      <c r="G47" s="1"/>
      <c r="H47" s="1" t="s">
        <v>433</v>
      </c>
      <c r="I47" s="1" t="s">
        <v>142</v>
      </c>
      <c r="J47" s="1" t="s">
        <v>434</v>
      </c>
      <c r="K47" s="1" t="s">
        <v>112</v>
      </c>
      <c r="L47">
        <v>1166</v>
      </c>
      <c r="M47">
        <v>105000</v>
      </c>
      <c r="N47" t="s">
        <v>3742</v>
      </c>
    </row>
    <row r="48" spans="1:14">
      <c r="A48">
        <v>240</v>
      </c>
      <c r="B48" s="1" t="s">
        <v>435</v>
      </c>
      <c r="C48" s="1" t="s">
        <v>436</v>
      </c>
      <c r="D48" s="1" t="s">
        <v>437</v>
      </c>
      <c r="E48" s="1" t="s">
        <v>438</v>
      </c>
      <c r="F48" s="1" t="s">
        <v>439</v>
      </c>
      <c r="G48" s="1" t="s">
        <v>440</v>
      </c>
      <c r="H48" s="1" t="s">
        <v>441</v>
      </c>
      <c r="I48" s="1" t="s">
        <v>442</v>
      </c>
      <c r="J48" s="1" t="s">
        <v>443</v>
      </c>
      <c r="K48" s="1" t="s">
        <v>322</v>
      </c>
      <c r="L48">
        <v>1501</v>
      </c>
      <c r="M48">
        <v>93900</v>
      </c>
      <c r="N48" t="s">
        <v>3741</v>
      </c>
    </row>
    <row r="49" spans="1:14">
      <c r="A49">
        <v>242</v>
      </c>
      <c r="B49" s="1" t="s">
        <v>444</v>
      </c>
      <c r="C49" s="1" t="s">
        <v>445</v>
      </c>
      <c r="D49" s="1" t="s">
        <v>446</v>
      </c>
      <c r="E49" s="1" t="s">
        <v>447</v>
      </c>
      <c r="F49" s="1" t="s">
        <v>448</v>
      </c>
      <c r="G49" s="1"/>
      <c r="H49" s="1" t="s">
        <v>449</v>
      </c>
      <c r="I49" s="1"/>
      <c r="J49" s="1" t="s">
        <v>450</v>
      </c>
      <c r="K49" s="1" t="s">
        <v>103</v>
      </c>
      <c r="L49">
        <v>1370</v>
      </c>
      <c r="M49">
        <v>61100</v>
      </c>
      <c r="N49" t="s">
        <v>3741</v>
      </c>
    </row>
    <row r="50" spans="1:14">
      <c r="A50">
        <v>247</v>
      </c>
      <c r="B50" s="1" t="s">
        <v>451</v>
      </c>
      <c r="C50" s="1" t="s">
        <v>452</v>
      </c>
      <c r="D50" s="1" t="s">
        <v>453</v>
      </c>
      <c r="E50" s="1" t="s">
        <v>454</v>
      </c>
      <c r="F50" s="1" t="s">
        <v>455</v>
      </c>
      <c r="G50" s="1"/>
      <c r="H50" s="1" t="s">
        <v>157</v>
      </c>
      <c r="I50" s="1"/>
      <c r="J50" s="1" t="s">
        <v>158</v>
      </c>
      <c r="K50" s="1" t="s">
        <v>159</v>
      </c>
      <c r="M50">
        <v>0</v>
      </c>
      <c r="N50" t="s">
        <v>3741</v>
      </c>
    </row>
    <row r="51" spans="1:14">
      <c r="A51">
        <v>249</v>
      </c>
      <c r="B51" s="1" t="s">
        <v>456</v>
      </c>
      <c r="C51" s="1" t="s">
        <v>457</v>
      </c>
      <c r="D51" s="1" t="s">
        <v>458</v>
      </c>
      <c r="E51" s="1" t="s">
        <v>459</v>
      </c>
      <c r="F51" s="1" t="s">
        <v>460</v>
      </c>
      <c r="G51" s="1"/>
      <c r="H51" s="1" t="s">
        <v>461</v>
      </c>
      <c r="I51" s="1"/>
      <c r="J51" s="1" t="s">
        <v>462</v>
      </c>
      <c r="K51" s="1" t="s">
        <v>463</v>
      </c>
      <c r="L51">
        <v>1401</v>
      </c>
      <c r="M51">
        <v>113000</v>
      </c>
      <c r="N51" t="s">
        <v>3742</v>
      </c>
    </row>
    <row r="52" spans="1:14">
      <c r="A52">
        <v>250</v>
      </c>
      <c r="B52" s="1" t="s">
        <v>464</v>
      </c>
      <c r="C52" s="1" t="s">
        <v>465</v>
      </c>
      <c r="D52" s="1" t="s">
        <v>466</v>
      </c>
      <c r="E52" s="1" t="s">
        <v>467</v>
      </c>
      <c r="F52" s="1" t="s">
        <v>468</v>
      </c>
      <c r="G52" s="1"/>
      <c r="H52" s="1" t="s">
        <v>279</v>
      </c>
      <c r="I52" s="1"/>
      <c r="J52" s="1" t="s">
        <v>469</v>
      </c>
      <c r="K52" s="1" t="s">
        <v>103</v>
      </c>
      <c r="L52">
        <v>1337</v>
      </c>
      <c r="M52">
        <v>68100</v>
      </c>
      <c r="N52" t="s">
        <v>3741</v>
      </c>
    </row>
    <row r="53" spans="1:14">
      <c r="A53">
        <v>256</v>
      </c>
      <c r="B53" s="1" t="s">
        <v>470</v>
      </c>
      <c r="C53" s="1" t="s">
        <v>471</v>
      </c>
      <c r="D53" s="1" t="s">
        <v>472</v>
      </c>
      <c r="E53" s="1" t="s">
        <v>473</v>
      </c>
      <c r="F53" s="1" t="s">
        <v>474</v>
      </c>
      <c r="G53" s="1"/>
      <c r="H53" s="1" t="s">
        <v>475</v>
      </c>
      <c r="I53" s="1"/>
      <c r="J53" s="1" t="s">
        <v>476</v>
      </c>
      <c r="K53" s="1" t="s">
        <v>103</v>
      </c>
      <c r="L53">
        <v>1370</v>
      </c>
      <c r="M53">
        <v>77900</v>
      </c>
      <c r="N53" t="s">
        <v>3741</v>
      </c>
    </row>
    <row r="54" spans="1:14">
      <c r="A54">
        <v>259</v>
      </c>
      <c r="B54" s="1" t="s">
        <v>477</v>
      </c>
      <c r="C54" s="1" t="s">
        <v>478</v>
      </c>
      <c r="D54" s="1" t="s">
        <v>479</v>
      </c>
      <c r="E54" s="1" t="s">
        <v>480</v>
      </c>
      <c r="F54" s="1" t="s">
        <v>481</v>
      </c>
      <c r="G54" s="1"/>
      <c r="H54" s="1" t="s">
        <v>482</v>
      </c>
      <c r="I54" s="1"/>
      <c r="J54" s="1" t="s">
        <v>483</v>
      </c>
      <c r="K54" s="1" t="s">
        <v>159</v>
      </c>
      <c r="L54">
        <v>1504</v>
      </c>
      <c r="M54">
        <v>120400</v>
      </c>
      <c r="N54" t="s">
        <v>3742</v>
      </c>
    </row>
    <row r="55" spans="1:14">
      <c r="A55">
        <v>260</v>
      </c>
      <c r="B55" s="1" t="s">
        <v>484</v>
      </c>
      <c r="C55" s="1" t="s">
        <v>485</v>
      </c>
      <c r="D55" s="1" t="s">
        <v>486</v>
      </c>
      <c r="E55" s="1" t="s">
        <v>487</v>
      </c>
      <c r="F55" s="1" t="s">
        <v>488</v>
      </c>
      <c r="G55" s="1"/>
      <c r="H55" s="1" t="s">
        <v>489</v>
      </c>
      <c r="I55" s="1" t="s">
        <v>352</v>
      </c>
      <c r="J55" s="1" t="s">
        <v>490</v>
      </c>
      <c r="K55" s="1" t="s">
        <v>354</v>
      </c>
      <c r="L55">
        <v>1323</v>
      </c>
      <c r="M55">
        <v>89600</v>
      </c>
      <c r="N55" t="s">
        <v>3741</v>
      </c>
    </row>
    <row r="56" spans="1:14">
      <c r="A56">
        <v>273</v>
      </c>
      <c r="B56" s="1" t="s">
        <v>491</v>
      </c>
      <c r="C56" s="1" t="s">
        <v>492</v>
      </c>
      <c r="D56" s="1" t="s">
        <v>493</v>
      </c>
      <c r="E56" s="1" t="s">
        <v>494</v>
      </c>
      <c r="F56" s="1" t="s">
        <v>495</v>
      </c>
      <c r="G56" s="1"/>
      <c r="H56" s="1" t="s">
        <v>496</v>
      </c>
      <c r="I56" s="1"/>
      <c r="J56" s="1" t="s">
        <v>497</v>
      </c>
      <c r="K56" s="1" t="s">
        <v>159</v>
      </c>
      <c r="M56">
        <v>0</v>
      </c>
      <c r="N56" t="s">
        <v>3741</v>
      </c>
    </row>
    <row r="57" spans="1:14">
      <c r="A57">
        <v>276</v>
      </c>
      <c r="B57" s="1" t="s">
        <v>498</v>
      </c>
      <c r="C57" s="1" t="s">
        <v>499</v>
      </c>
      <c r="D57" s="1" t="s">
        <v>500</v>
      </c>
      <c r="E57" s="1" t="s">
        <v>501</v>
      </c>
      <c r="F57" s="1" t="s">
        <v>502</v>
      </c>
      <c r="G57" s="1" t="s">
        <v>503</v>
      </c>
      <c r="H57" s="1" t="s">
        <v>504</v>
      </c>
      <c r="I57" s="1" t="s">
        <v>505</v>
      </c>
      <c r="J57" s="1" t="s">
        <v>506</v>
      </c>
      <c r="K57" s="1" t="s">
        <v>122</v>
      </c>
      <c r="L57">
        <v>1611</v>
      </c>
      <c r="M57">
        <v>107800</v>
      </c>
      <c r="N57" t="s">
        <v>3742</v>
      </c>
    </row>
    <row r="58" spans="1:14">
      <c r="A58">
        <v>278</v>
      </c>
      <c r="B58" s="1" t="s">
        <v>507</v>
      </c>
      <c r="C58" s="1" t="s">
        <v>508</v>
      </c>
      <c r="D58" s="1" t="s">
        <v>509</v>
      </c>
      <c r="E58" s="1" t="s">
        <v>510</v>
      </c>
      <c r="F58" s="1" t="s">
        <v>511</v>
      </c>
      <c r="G58" s="1"/>
      <c r="H58" s="1" t="s">
        <v>512</v>
      </c>
      <c r="I58" s="1"/>
      <c r="J58" s="1" t="s">
        <v>513</v>
      </c>
      <c r="K58" s="1" t="s">
        <v>463</v>
      </c>
      <c r="L58">
        <v>1401</v>
      </c>
      <c r="M58">
        <v>119600</v>
      </c>
      <c r="N58" t="s">
        <v>3742</v>
      </c>
    </row>
    <row r="59" spans="1:14">
      <c r="A59">
        <v>282</v>
      </c>
      <c r="B59" s="1" t="s">
        <v>514</v>
      </c>
      <c r="C59" s="1" t="s">
        <v>515</v>
      </c>
      <c r="D59" s="1" t="s">
        <v>516</v>
      </c>
      <c r="E59" s="1" t="s">
        <v>517</v>
      </c>
      <c r="F59" s="1" t="s">
        <v>518</v>
      </c>
      <c r="G59" s="1" t="s">
        <v>519</v>
      </c>
      <c r="H59" s="1" t="s">
        <v>520</v>
      </c>
      <c r="I59" s="1" t="s">
        <v>505</v>
      </c>
      <c r="J59" s="1" t="s">
        <v>521</v>
      </c>
      <c r="K59" s="1" t="s">
        <v>122</v>
      </c>
      <c r="L59">
        <v>1611</v>
      </c>
      <c r="M59">
        <v>93300</v>
      </c>
      <c r="N59" t="s">
        <v>3741</v>
      </c>
    </row>
    <row r="60" spans="1:14">
      <c r="A60">
        <v>286</v>
      </c>
      <c r="B60" s="1" t="s">
        <v>522</v>
      </c>
      <c r="C60" s="1" t="s">
        <v>523</v>
      </c>
      <c r="D60" s="1" t="s">
        <v>524</v>
      </c>
      <c r="E60" s="1" t="s">
        <v>525</v>
      </c>
      <c r="F60" s="1" t="s">
        <v>526</v>
      </c>
      <c r="G60" s="1"/>
      <c r="H60" s="1" t="s">
        <v>286</v>
      </c>
      <c r="I60" s="1" t="s">
        <v>287</v>
      </c>
      <c r="J60" s="1" t="s">
        <v>288</v>
      </c>
      <c r="K60" s="1" t="s">
        <v>112</v>
      </c>
      <c r="L60">
        <v>1216</v>
      </c>
      <c r="M60">
        <v>123700</v>
      </c>
      <c r="N60" t="s">
        <v>3742</v>
      </c>
    </row>
    <row r="61" spans="1:14">
      <c r="A61">
        <v>293</v>
      </c>
      <c r="B61" s="1" t="s">
        <v>527</v>
      </c>
      <c r="C61" s="1" t="s">
        <v>528</v>
      </c>
      <c r="D61" s="1" t="s">
        <v>529</v>
      </c>
      <c r="E61" s="1" t="s">
        <v>530</v>
      </c>
      <c r="F61" s="1" t="s">
        <v>531</v>
      </c>
      <c r="G61" s="1"/>
      <c r="H61" s="1" t="s">
        <v>532</v>
      </c>
      <c r="I61" s="1"/>
      <c r="J61" s="1" t="s">
        <v>533</v>
      </c>
      <c r="K61" s="1" t="s">
        <v>534</v>
      </c>
      <c r="M61">
        <v>0</v>
      </c>
      <c r="N61" t="s">
        <v>3741</v>
      </c>
    </row>
    <row r="62" spans="1:14">
      <c r="A62">
        <v>298</v>
      </c>
      <c r="B62" s="1" t="s">
        <v>535</v>
      </c>
      <c r="C62" s="1" t="s">
        <v>536</v>
      </c>
      <c r="D62" s="1" t="s">
        <v>537</v>
      </c>
      <c r="E62" s="1" t="s">
        <v>538</v>
      </c>
      <c r="F62" s="1" t="s">
        <v>539</v>
      </c>
      <c r="G62" s="1"/>
      <c r="H62" s="1" t="s">
        <v>540</v>
      </c>
      <c r="I62" s="1"/>
      <c r="J62" s="1" t="s">
        <v>541</v>
      </c>
      <c r="K62" s="1" t="s">
        <v>534</v>
      </c>
      <c r="L62">
        <v>1702</v>
      </c>
      <c r="M62">
        <v>141300</v>
      </c>
      <c r="N62" t="s">
        <v>3742</v>
      </c>
    </row>
    <row r="63" spans="1:14">
      <c r="A63">
        <v>299</v>
      </c>
      <c r="B63" s="1" t="s">
        <v>542</v>
      </c>
      <c r="C63" s="1" t="s">
        <v>543</v>
      </c>
      <c r="D63" s="1" t="s">
        <v>544</v>
      </c>
      <c r="E63" s="1" t="s">
        <v>545</v>
      </c>
      <c r="F63" s="1" t="s">
        <v>546</v>
      </c>
      <c r="G63" s="1" t="s">
        <v>547</v>
      </c>
      <c r="H63" s="1" t="s">
        <v>548</v>
      </c>
      <c r="I63" s="1"/>
      <c r="J63" s="1" t="s">
        <v>549</v>
      </c>
      <c r="K63" s="1" t="s">
        <v>249</v>
      </c>
      <c r="L63">
        <v>1504</v>
      </c>
      <c r="M63">
        <v>95100</v>
      </c>
      <c r="N63" t="s">
        <v>3741</v>
      </c>
    </row>
    <row r="64" spans="1:14">
      <c r="A64">
        <v>303</v>
      </c>
      <c r="B64" s="1" t="s">
        <v>550</v>
      </c>
      <c r="C64" s="1" t="s">
        <v>551</v>
      </c>
      <c r="D64" s="1" t="s">
        <v>552</v>
      </c>
      <c r="E64" s="1" t="s">
        <v>553</v>
      </c>
      <c r="F64" s="1" t="s">
        <v>554</v>
      </c>
      <c r="G64" s="1"/>
      <c r="H64" s="1" t="s">
        <v>555</v>
      </c>
      <c r="I64" s="1"/>
      <c r="J64" s="1" t="s">
        <v>556</v>
      </c>
      <c r="K64" s="1" t="s">
        <v>557</v>
      </c>
      <c r="M64">
        <v>0</v>
      </c>
      <c r="N64" t="s">
        <v>3741</v>
      </c>
    </row>
    <row r="65" spans="1:14">
      <c r="A65">
        <v>307</v>
      </c>
      <c r="B65" s="1" t="s">
        <v>558</v>
      </c>
      <c r="C65" s="1" t="s">
        <v>559</v>
      </c>
      <c r="D65" s="1" t="s">
        <v>560</v>
      </c>
      <c r="E65" s="1" t="s">
        <v>561</v>
      </c>
      <c r="F65" s="1" t="s">
        <v>562</v>
      </c>
      <c r="G65" s="1"/>
      <c r="H65" s="1" t="s">
        <v>563</v>
      </c>
      <c r="I65" s="1"/>
      <c r="J65" s="1" t="s">
        <v>564</v>
      </c>
      <c r="K65" s="1" t="s">
        <v>159</v>
      </c>
      <c r="M65">
        <v>0</v>
      </c>
      <c r="N65" t="s">
        <v>3741</v>
      </c>
    </row>
    <row r="66" spans="1:14">
      <c r="A66">
        <v>311</v>
      </c>
      <c r="B66" s="1" t="s">
        <v>565</v>
      </c>
      <c r="C66" s="1" t="s">
        <v>566</v>
      </c>
      <c r="D66" s="1" t="s">
        <v>567</v>
      </c>
      <c r="E66" s="1" t="s">
        <v>568</v>
      </c>
      <c r="F66" s="1" t="s">
        <v>569</v>
      </c>
      <c r="G66" s="1"/>
      <c r="H66" s="1" t="s">
        <v>570</v>
      </c>
      <c r="I66" s="1"/>
      <c r="J66" s="1" t="s">
        <v>571</v>
      </c>
      <c r="K66" s="1" t="s">
        <v>314</v>
      </c>
      <c r="L66">
        <v>1501</v>
      </c>
      <c r="M66">
        <v>90500</v>
      </c>
      <c r="N66" t="s">
        <v>3741</v>
      </c>
    </row>
    <row r="67" spans="1:14">
      <c r="A67">
        <v>314</v>
      </c>
      <c r="B67" s="1" t="s">
        <v>572</v>
      </c>
      <c r="C67" s="1" t="s">
        <v>573</v>
      </c>
      <c r="D67" s="1" t="s">
        <v>574</v>
      </c>
      <c r="E67" s="1" t="s">
        <v>575</v>
      </c>
      <c r="F67" s="1" t="s">
        <v>576</v>
      </c>
      <c r="G67" s="1"/>
      <c r="H67" s="1" t="s">
        <v>577</v>
      </c>
      <c r="I67" s="1"/>
      <c r="J67" s="1" t="s">
        <v>578</v>
      </c>
      <c r="K67" s="1" t="s">
        <v>579</v>
      </c>
      <c r="L67">
        <v>1401</v>
      </c>
      <c r="M67">
        <v>79900</v>
      </c>
      <c r="N67" t="s">
        <v>3741</v>
      </c>
    </row>
    <row r="68" spans="1:14">
      <c r="A68">
        <v>319</v>
      </c>
      <c r="B68" s="1" t="s">
        <v>580</v>
      </c>
      <c r="C68" s="1" t="s">
        <v>303</v>
      </c>
      <c r="D68" s="1" t="s">
        <v>581</v>
      </c>
      <c r="E68" s="1" t="s">
        <v>582</v>
      </c>
      <c r="F68" s="1" t="s">
        <v>583</v>
      </c>
      <c r="G68" s="1"/>
      <c r="H68" s="1" t="s">
        <v>584</v>
      </c>
      <c r="I68" s="1" t="s">
        <v>173</v>
      </c>
      <c r="J68" s="1" t="s">
        <v>585</v>
      </c>
      <c r="K68" s="1" t="s">
        <v>112</v>
      </c>
      <c r="L68">
        <v>1323</v>
      </c>
      <c r="M68">
        <v>102700</v>
      </c>
      <c r="N68" t="s">
        <v>3742</v>
      </c>
    </row>
    <row r="69" spans="1:14">
      <c r="A69">
        <v>320</v>
      </c>
      <c r="B69" s="1" t="s">
        <v>586</v>
      </c>
      <c r="C69" s="1" t="s">
        <v>587</v>
      </c>
      <c r="D69" s="1" t="s">
        <v>588</v>
      </c>
      <c r="E69" s="1" t="s">
        <v>589</v>
      </c>
      <c r="F69" s="1" t="s">
        <v>590</v>
      </c>
      <c r="G69" s="1"/>
      <c r="H69" s="1" t="s">
        <v>591</v>
      </c>
      <c r="I69" s="1" t="s">
        <v>287</v>
      </c>
      <c r="J69" s="1" t="s">
        <v>592</v>
      </c>
      <c r="K69" s="1" t="s">
        <v>112</v>
      </c>
      <c r="L69">
        <v>1188</v>
      </c>
      <c r="M69">
        <v>94500</v>
      </c>
      <c r="N69" t="s">
        <v>3741</v>
      </c>
    </row>
    <row r="70" spans="1:14">
      <c r="A70">
        <v>321</v>
      </c>
      <c r="B70" s="1" t="s">
        <v>593</v>
      </c>
      <c r="C70" s="1" t="s">
        <v>594</v>
      </c>
      <c r="D70" s="1" t="s">
        <v>162</v>
      </c>
      <c r="E70" s="1" t="s">
        <v>595</v>
      </c>
      <c r="F70" s="1" t="s">
        <v>596</v>
      </c>
      <c r="G70" s="1"/>
      <c r="H70" s="1" t="s">
        <v>165</v>
      </c>
      <c r="I70" s="1" t="s">
        <v>142</v>
      </c>
      <c r="J70" s="1" t="s">
        <v>166</v>
      </c>
      <c r="K70" s="1" t="s">
        <v>112</v>
      </c>
      <c r="L70">
        <v>1165</v>
      </c>
      <c r="M70">
        <v>105000</v>
      </c>
      <c r="N70" t="s">
        <v>3742</v>
      </c>
    </row>
    <row r="71" spans="1:14">
      <c r="A71">
        <v>323</v>
      </c>
      <c r="B71" s="1" t="s">
        <v>597</v>
      </c>
      <c r="C71" s="1" t="s">
        <v>598</v>
      </c>
      <c r="D71" s="1" t="s">
        <v>381</v>
      </c>
      <c r="E71" s="1" t="s">
        <v>599</v>
      </c>
      <c r="F71" s="1" t="s">
        <v>600</v>
      </c>
      <c r="G71" s="1" t="s">
        <v>601</v>
      </c>
      <c r="H71" s="1" t="s">
        <v>602</v>
      </c>
      <c r="I71" s="1"/>
      <c r="J71" s="1"/>
      <c r="K71" s="1" t="s">
        <v>603</v>
      </c>
      <c r="L71">
        <v>1612</v>
      </c>
      <c r="M71">
        <v>88000</v>
      </c>
      <c r="N71" t="s">
        <v>3741</v>
      </c>
    </row>
    <row r="72" spans="1:14">
      <c r="A72">
        <v>324</v>
      </c>
      <c r="B72" s="1" t="s">
        <v>604</v>
      </c>
      <c r="C72" s="1" t="s">
        <v>594</v>
      </c>
      <c r="D72" s="1" t="s">
        <v>605</v>
      </c>
      <c r="E72" s="1" t="s">
        <v>606</v>
      </c>
      <c r="F72" s="1" t="s">
        <v>607</v>
      </c>
      <c r="G72" s="1"/>
      <c r="H72" s="1" t="s">
        <v>608</v>
      </c>
      <c r="I72" s="1"/>
      <c r="J72" s="1" t="s">
        <v>609</v>
      </c>
      <c r="K72" s="1" t="s">
        <v>322</v>
      </c>
      <c r="L72">
        <v>1501</v>
      </c>
      <c r="M72">
        <v>77000</v>
      </c>
      <c r="N72" t="s">
        <v>3741</v>
      </c>
    </row>
    <row r="73" spans="1:14">
      <c r="A73">
        <v>328</v>
      </c>
      <c r="B73" s="1" t="s">
        <v>610</v>
      </c>
      <c r="C73" s="1" t="s">
        <v>594</v>
      </c>
      <c r="D73" s="1" t="s">
        <v>611</v>
      </c>
      <c r="E73" s="1" t="s">
        <v>612</v>
      </c>
      <c r="F73" s="1" t="s">
        <v>613</v>
      </c>
      <c r="G73" s="1"/>
      <c r="H73" s="1" t="s">
        <v>614</v>
      </c>
      <c r="I73" s="1" t="s">
        <v>615</v>
      </c>
      <c r="J73" s="1" t="s">
        <v>616</v>
      </c>
      <c r="K73" s="1" t="s">
        <v>112</v>
      </c>
      <c r="L73">
        <v>1323</v>
      </c>
      <c r="M73">
        <v>43000</v>
      </c>
      <c r="N73" t="s">
        <v>3741</v>
      </c>
    </row>
    <row r="74" spans="1:14">
      <c r="A74">
        <v>333</v>
      </c>
      <c r="B74" s="1" t="s">
        <v>617</v>
      </c>
      <c r="C74" s="1" t="s">
        <v>618</v>
      </c>
      <c r="D74" s="1" t="s">
        <v>619</v>
      </c>
      <c r="E74" s="1" t="s">
        <v>620</v>
      </c>
      <c r="F74" s="1" t="s">
        <v>621</v>
      </c>
      <c r="G74" s="1"/>
      <c r="H74" s="1" t="s">
        <v>622</v>
      </c>
      <c r="I74" s="1" t="s">
        <v>623</v>
      </c>
      <c r="J74" s="1" t="s">
        <v>624</v>
      </c>
      <c r="K74" s="1" t="s">
        <v>122</v>
      </c>
      <c r="L74">
        <v>1611</v>
      </c>
      <c r="M74">
        <v>51600</v>
      </c>
      <c r="N74" t="s">
        <v>3741</v>
      </c>
    </row>
    <row r="75" spans="1:14">
      <c r="A75">
        <v>334</v>
      </c>
      <c r="B75" s="1" t="s">
        <v>625</v>
      </c>
      <c r="C75" s="1" t="s">
        <v>626</v>
      </c>
      <c r="D75" s="1" t="s">
        <v>627</v>
      </c>
      <c r="E75" s="1" t="s">
        <v>628</v>
      </c>
      <c r="F75" s="1" t="s">
        <v>629</v>
      </c>
      <c r="G75" s="1" t="s">
        <v>630</v>
      </c>
      <c r="H75" s="1" t="s">
        <v>631</v>
      </c>
      <c r="I75" s="1"/>
      <c r="J75" s="1" t="s">
        <v>632</v>
      </c>
      <c r="K75" s="1" t="s">
        <v>314</v>
      </c>
      <c r="L75">
        <v>1501</v>
      </c>
      <c r="M75">
        <v>98800</v>
      </c>
      <c r="N75" t="s">
        <v>3741</v>
      </c>
    </row>
    <row r="76" spans="1:14">
      <c r="A76">
        <v>335</v>
      </c>
      <c r="B76" s="1" t="s">
        <v>633</v>
      </c>
      <c r="C76" s="1" t="s">
        <v>634</v>
      </c>
      <c r="D76" s="1" t="s">
        <v>635</v>
      </c>
      <c r="E76" s="1" t="s">
        <v>636</v>
      </c>
      <c r="F76" s="1" t="s">
        <v>637</v>
      </c>
      <c r="G76" s="1"/>
      <c r="H76" s="1" t="s">
        <v>638</v>
      </c>
      <c r="I76" s="1"/>
      <c r="J76" s="1" t="s">
        <v>639</v>
      </c>
      <c r="K76" s="1" t="s">
        <v>159</v>
      </c>
      <c r="M76">
        <v>0</v>
      </c>
      <c r="N76" t="s">
        <v>3741</v>
      </c>
    </row>
    <row r="77" spans="1:14">
      <c r="A77">
        <v>339</v>
      </c>
      <c r="B77" s="1" t="s">
        <v>640</v>
      </c>
      <c r="C77" s="1" t="s">
        <v>641</v>
      </c>
      <c r="D77" s="1" t="s">
        <v>642</v>
      </c>
      <c r="E77" s="1" t="s">
        <v>643</v>
      </c>
      <c r="F77" s="1" t="s">
        <v>644</v>
      </c>
      <c r="G77" s="1"/>
      <c r="H77" s="1" t="s">
        <v>645</v>
      </c>
      <c r="I77" s="1" t="s">
        <v>226</v>
      </c>
      <c r="J77" s="1" t="s">
        <v>646</v>
      </c>
      <c r="K77" s="1" t="s">
        <v>112</v>
      </c>
      <c r="L77">
        <v>1188</v>
      </c>
      <c r="M77">
        <v>81100</v>
      </c>
      <c r="N77" t="s">
        <v>3741</v>
      </c>
    </row>
    <row r="78" spans="1:14">
      <c r="A78">
        <v>344</v>
      </c>
      <c r="B78" s="1" t="s">
        <v>647</v>
      </c>
      <c r="C78" s="1" t="s">
        <v>648</v>
      </c>
      <c r="D78" s="1" t="s">
        <v>649</v>
      </c>
      <c r="E78" s="1" t="s">
        <v>650</v>
      </c>
      <c r="F78" s="1" t="s">
        <v>651</v>
      </c>
      <c r="G78" s="1" t="s">
        <v>652</v>
      </c>
      <c r="H78" s="1" t="s">
        <v>180</v>
      </c>
      <c r="I78" s="1"/>
      <c r="J78" s="1" t="s">
        <v>653</v>
      </c>
      <c r="K78" s="1" t="s">
        <v>182</v>
      </c>
      <c r="L78">
        <v>1702</v>
      </c>
      <c r="M78">
        <v>59600</v>
      </c>
      <c r="N78" t="s">
        <v>3741</v>
      </c>
    </row>
    <row r="79" spans="1:14">
      <c r="A79">
        <v>347</v>
      </c>
      <c r="B79" s="1" t="s">
        <v>654</v>
      </c>
      <c r="C79" s="1" t="s">
        <v>655</v>
      </c>
      <c r="D79" s="1" t="s">
        <v>656</v>
      </c>
      <c r="E79" s="1" t="s">
        <v>657</v>
      </c>
      <c r="F79" s="1" t="s">
        <v>658</v>
      </c>
      <c r="G79" s="1"/>
      <c r="H79" s="1" t="s">
        <v>659</v>
      </c>
      <c r="I79" s="1" t="s">
        <v>142</v>
      </c>
      <c r="J79" s="1" t="s">
        <v>660</v>
      </c>
      <c r="K79" s="1" t="s">
        <v>112</v>
      </c>
      <c r="L79">
        <v>1166</v>
      </c>
      <c r="M79">
        <v>57700</v>
      </c>
      <c r="N79" t="s">
        <v>3741</v>
      </c>
    </row>
    <row r="80" spans="1:14">
      <c r="A80">
        <v>348</v>
      </c>
      <c r="B80" s="1" t="s">
        <v>661</v>
      </c>
      <c r="C80" s="1" t="s">
        <v>662</v>
      </c>
      <c r="D80" s="1" t="s">
        <v>663</v>
      </c>
      <c r="E80" s="1" t="s">
        <v>664</v>
      </c>
      <c r="F80" s="1" t="s">
        <v>665</v>
      </c>
      <c r="G80" s="1"/>
      <c r="H80" s="1" t="s">
        <v>666</v>
      </c>
      <c r="I80" s="1" t="s">
        <v>667</v>
      </c>
      <c r="J80" s="1"/>
      <c r="K80" s="1" t="s">
        <v>331</v>
      </c>
      <c r="M80">
        <v>0</v>
      </c>
      <c r="N80" t="s">
        <v>3741</v>
      </c>
    </row>
    <row r="81" spans="1:14">
      <c r="A81">
        <v>350</v>
      </c>
      <c r="B81" s="1" t="s">
        <v>668</v>
      </c>
      <c r="C81" s="1" t="s">
        <v>669</v>
      </c>
      <c r="D81" s="1" t="s">
        <v>670</v>
      </c>
      <c r="E81" s="1" t="s">
        <v>671</v>
      </c>
      <c r="F81" s="1" t="s">
        <v>672</v>
      </c>
      <c r="G81" s="1"/>
      <c r="H81" s="1" t="s">
        <v>673</v>
      </c>
      <c r="I81" s="1"/>
      <c r="J81" s="1" t="s">
        <v>674</v>
      </c>
      <c r="K81" s="1" t="s">
        <v>103</v>
      </c>
      <c r="L81">
        <v>1337</v>
      </c>
      <c r="M81">
        <v>65000</v>
      </c>
      <c r="N81" t="s">
        <v>3741</v>
      </c>
    </row>
    <row r="82" spans="1:14">
      <c r="A82">
        <v>353</v>
      </c>
      <c r="B82" s="1" t="s">
        <v>675</v>
      </c>
      <c r="C82" s="1" t="s">
        <v>676</v>
      </c>
      <c r="D82" s="1" t="s">
        <v>677</v>
      </c>
      <c r="E82" s="1" t="s">
        <v>678</v>
      </c>
      <c r="F82" s="1" t="s">
        <v>679</v>
      </c>
      <c r="G82" s="1"/>
      <c r="H82" s="1" t="s">
        <v>680</v>
      </c>
      <c r="I82" s="1"/>
      <c r="J82" s="1" t="s">
        <v>681</v>
      </c>
      <c r="K82" s="1" t="s">
        <v>103</v>
      </c>
      <c r="L82">
        <v>1337</v>
      </c>
      <c r="M82">
        <v>81100</v>
      </c>
      <c r="N82" t="s">
        <v>3741</v>
      </c>
    </row>
    <row r="83" spans="1:14">
      <c r="A83">
        <v>356</v>
      </c>
      <c r="B83" s="1" t="s">
        <v>682</v>
      </c>
      <c r="C83" s="1" t="s">
        <v>683</v>
      </c>
      <c r="D83" s="1" t="s">
        <v>684</v>
      </c>
      <c r="E83" s="1" t="s">
        <v>685</v>
      </c>
      <c r="F83" s="1" t="s">
        <v>686</v>
      </c>
      <c r="G83" s="1"/>
      <c r="H83" s="1" t="s">
        <v>687</v>
      </c>
      <c r="I83" s="1" t="s">
        <v>688</v>
      </c>
      <c r="J83" s="1" t="s">
        <v>689</v>
      </c>
      <c r="K83" s="1" t="s">
        <v>690</v>
      </c>
      <c r="M83">
        <v>0</v>
      </c>
      <c r="N83" t="s">
        <v>3741</v>
      </c>
    </row>
    <row r="84" spans="1:14">
      <c r="A84">
        <v>357</v>
      </c>
      <c r="B84" s="1" t="s">
        <v>691</v>
      </c>
      <c r="C84" s="1" t="s">
        <v>692</v>
      </c>
      <c r="D84" s="1" t="s">
        <v>693</v>
      </c>
      <c r="E84" s="1" t="s">
        <v>694</v>
      </c>
      <c r="F84" s="1" t="s">
        <v>695</v>
      </c>
      <c r="G84" s="1"/>
      <c r="H84" s="1" t="s">
        <v>696</v>
      </c>
      <c r="I84" s="1"/>
      <c r="J84" s="1"/>
      <c r="K84" s="1" t="s">
        <v>603</v>
      </c>
      <c r="L84">
        <v>1612</v>
      </c>
      <c r="M84">
        <v>77700</v>
      </c>
      <c r="N84" t="s">
        <v>3741</v>
      </c>
    </row>
    <row r="85" spans="1:14">
      <c r="A85">
        <v>361</v>
      </c>
      <c r="B85" s="1" t="s">
        <v>697</v>
      </c>
      <c r="C85" s="1" t="s">
        <v>698</v>
      </c>
      <c r="D85" s="1" t="s">
        <v>699</v>
      </c>
      <c r="E85" s="1" t="s">
        <v>700</v>
      </c>
      <c r="F85" s="1" t="s">
        <v>701</v>
      </c>
      <c r="G85" s="1"/>
      <c r="H85" s="1" t="s">
        <v>702</v>
      </c>
      <c r="I85" s="1"/>
      <c r="J85" s="1" t="s">
        <v>703</v>
      </c>
      <c r="K85" s="1" t="s">
        <v>159</v>
      </c>
      <c r="M85">
        <v>0</v>
      </c>
      <c r="N85" t="s">
        <v>3741</v>
      </c>
    </row>
    <row r="86" spans="1:14">
      <c r="A86">
        <v>362</v>
      </c>
      <c r="B86" s="1" t="s">
        <v>704</v>
      </c>
      <c r="C86" s="1" t="s">
        <v>705</v>
      </c>
      <c r="D86" s="1" t="s">
        <v>230</v>
      </c>
      <c r="E86" s="1" t="s">
        <v>706</v>
      </c>
      <c r="F86" s="1" t="s">
        <v>707</v>
      </c>
      <c r="G86" s="1"/>
      <c r="H86" s="1" t="s">
        <v>708</v>
      </c>
      <c r="I86" s="1" t="s">
        <v>287</v>
      </c>
      <c r="J86" s="1" t="s">
        <v>709</v>
      </c>
      <c r="K86" s="1" t="s">
        <v>112</v>
      </c>
      <c r="L86">
        <v>1216</v>
      </c>
      <c r="M86">
        <v>41900</v>
      </c>
      <c r="N86" t="s">
        <v>3741</v>
      </c>
    </row>
    <row r="87" spans="1:14">
      <c r="A87">
        <v>363</v>
      </c>
      <c r="B87" s="1" t="s">
        <v>710</v>
      </c>
      <c r="C87" s="1" t="s">
        <v>215</v>
      </c>
      <c r="D87" s="1" t="s">
        <v>711</v>
      </c>
      <c r="E87" s="1" t="s">
        <v>712</v>
      </c>
      <c r="F87" s="1" t="s">
        <v>713</v>
      </c>
      <c r="G87" s="1"/>
      <c r="H87" s="1" t="s">
        <v>714</v>
      </c>
      <c r="I87" s="1" t="s">
        <v>715</v>
      </c>
      <c r="J87" s="1" t="s">
        <v>716</v>
      </c>
      <c r="K87" s="1" t="s">
        <v>112</v>
      </c>
      <c r="L87">
        <v>1216</v>
      </c>
      <c r="M87">
        <v>114200</v>
      </c>
      <c r="N87" t="s">
        <v>3742</v>
      </c>
    </row>
    <row r="88" spans="1:14">
      <c r="A88">
        <v>369</v>
      </c>
      <c r="B88" s="1" t="s">
        <v>717</v>
      </c>
      <c r="C88" s="1" t="s">
        <v>718</v>
      </c>
      <c r="D88" s="1" t="s">
        <v>719</v>
      </c>
      <c r="E88" s="1" t="s">
        <v>720</v>
      </c>
      <c r="F88" s="1" t="s">
        <v>721</v>
      </c>
      <c r="G88" s="1"/>
      <c r="H88" s="1" t="s">
        <v>264</v>
      </c>
      <c r="I88" s="1"/>
      <c r="J88" s="1" t="s">
        <v>722</v>
      </c>
      <c r="K88" s="1" t="s">
        <v>266</v>
      </c>
      <c r="M88">
        <v>0</v>
      </c>
      <c r="N88" t="s">
        <v>3741</v>
      </c>
    </row>
    <row r="89" spans="1:14">
      <c r="A89">
        <v>376</v>
      </c>
      <c r="B89" s="1" t="s">
        <v>723</v>
      </c>
      <c r="C89" s="1" t="s">
        <v>724</v>
      </c>
      <c r="D89" s="1" t="s">
        <v>725</v>
      </c>
      <c r="E89" s="1" t="s">
        <v>726</v>
      </c>
      <c r="F89" s="1" t="s">
        <v>727</v>
      </c>
      <c r="G89" s="1"/>
      <c r="H89" s="1" t="s">
        <v>728</v>
      </c>
      <c r="I89" s="1"/>
      <c r="J89" s="1" t="s">
        <v>729</v>
      </c>
      <c r="K89" s="1" t="s">
        <v>534</v>
      </c>
      <c r="L89">
        <v>1702</v>
      </c>
      <c r="M89">
        <v>0</v>
      </c>
      <c r="N89" t="s">
        <v>3741</v>
      </c>
    </row>
    <row r="90" spans="1:14">
      <c r="A90">
        <v>379</v>
      </c>
      <c r="B90" s="1" t="s">
        <v>730</v>
      </c>
      <c r="C90" s="1" t="s">
        <v>137</v>
      </c>
      <c r="D90" s="1" t="s">
        <v>731</v>
      </c>
      <c r="E90" s="1" t="s">
        <v>525</v>
      </c>
      <c r="F90" s="1" t="s">
        <v>732</v>
      </c>
      <c r="G90" s="1"/>
      <c r="H90" s="1" t="s">
        <v>337</v>
      </c>
      <c r="I90" s="1" t="s">
        <v>287</v>
      </c>
      <c r="J90" s="1" t="s">
        <v>338</v>
      </c>
      <c r="K90" s="1" t="s">
        <v>112</v>
      </c>
      <c r="L90">
        <v>1188</v>
      </c>
      <c r="M90">
        <v>70700</v>
      </c>
      <c r="N90" t="s">
        <v>3741</v>
      </c>
    </row>
    <row r="91" spans="1:14">
      <c r="A91">
        <v>381</v>
      </c>
      <c r="B91" s="1" t="s">
        <v>733</v>
      </c>
      <c r="C91" s="1" t="s">
        <v>734</v>
      </c>
      <c r="D91" s="1" t="s">
        <v>735</v>
      </c>
      <c r="E91" s="1" t="s">
        <v>736</v>
      </c>
      <c r="F91" s="1" t="s">
        <v>737</v>
      </c>
      <c r="G91" s="1"/>
      <c r="H91" s="1" t="s">
        <v>738</v>
      </c>
      <c r="I91" s="1"/>
      <c r="J91" s="1" t="s">
        <v>739</v>
      </c>
      <c r="K91" s="1" t="s">
        <v>579</v>
      </c>
      <c r="L91">
        <v>1401</v>
      </c>
      <c r="M91">
        <v>23500</v>
      </c>
      <c r="N91" t="s">
        <v>3741</v>
      </c>
    </row>
    <row r="92" spans="1:14">
      <c r="A92">
        <v>382</v>
      </c>
      <c r="B92" s="1" t="s">
        <v>740</v>
      </c>
      <c r="C92" s="1" t="s">
        <v>741</v>
      </c>
      <c r="D92" s="1" t="s">
        <v>742</v>
      </c>
      <c r="E92" s="1" t="s">
        <v>743</v>
      </c>
      <c r="F92" s="1" t="s">
        <v>744</v>
      </c>
      <c r="G92" s="1"/>
      <c r="H92" s="1" t="s">
        <v>745</v>
      </c>
      <c r="I92" s="1"/>
      <c r="J92" s="1" t="s">
        <v>746</v>
      </c>
      <c r="K92" s="1" t="s">
        <v>747</v>
      </c>
      <c r="L92">
        <v>1401</v>
      </c>
      <c r="M92">
        <v>71700</v>
      </c>
      <c r="N92" t="s">
        <v>3741</v>
      </c>
    </row>
    <row r="93" spans="1:14">
      <c r="A93">
        <v>385</v>
      </c>
      <c r="B93" s="1" t="s">
        <v>748</v>
      </c>
      <c r="C93" s="1" t="s">
        <v>749</v>
      </c>
      <c r="D93" s="1" t="s">
        <v>750</v>
      </c>
      <c r="E93" s="1" t="s">
        <v>751</v>
      </c>
      <c r="F93" s="1" t="s">
        <v>752</v>
      </c>
      <c r="G93" s="1" t="s">
        <v>753</v>
      </c>
      <c r="H93" s="1" t="s">
        <v>754</v>
      </c>
      <c r="I93" s="1"/>
      <c r="J93" s="1" t="s">
        <v>755</v>
      </c>
      <c r="K93" s="1" t="s">
        <v>756</v>
      </c>
      <c r="L93">
        <v>1621</v>
      </c>
      <c r="M93">
        <v>81500</v>
      </c>
      <c r="N93" t="s">
        <v>3741</v>
      </c>
    </row>
    <row r="94" spans="1:14">
      <c r="A94">
        <v>386</v>
      </c>
      <c r="B94" s="1" t="s">
        <v>757</v>
      </c>
      <c r="C94" s="1" t="s">
        <v>758</v>
      </c>
      <c r="D94" s="1" t="s">
        <v>759</v>
      </c>
      <c r="E94" s="1" t="s">
        <v>760</v>
      </c>
      <c r="F94" s="1" t="s">
        <v>761</v>
      </c>
      <c r="G94" s="1"/>
      <c r="H94" s="1" t="s">
        <v>762</v>
      </c>
      <c r="I94" s="1"/>
      <c r="J94" s="1" t="s">
        <v>763</v>
      </c>
      <c r="K94" s="1" t="s">
        <v>463</v>
      </c>
      <c r="L94">
        <v>1401</v>
      </c>
      <c r="M94">
        <v>121400</v>
      </c>
      <c r="N94" t="s">
        <v>3742</v>
      </c>
    </row>
    <row r="95" spans="1:14">
      <c r="A95">
        <v>398</v>
      </c>
      <c r="B95" s="1" t="s">
        <v>764</v>
      </c>
      <c r="C95" s="1" t="s">
        <v>765</v>
      </c>
      <c r="D95" s="1" t="s">
        <v>766</v>
      </c>
      <c r="E95" s="1" t="s">
        <v>767</v>
      </c>
      <c r="F95" s="1" t="s">
        <v>768</v>
      </c>
      <c r="G95" s="1"/>
      <c r="H95" s="1" t="s">
        <v>769</v>
      </c>
      <c r="I95" s="1" t="s">
        <v>770</v>
      </c>
      <c r="J95" s="1" t="s">
        <v>771</v>
      </c>
      <c r="K95" s="1" t="s">
        <v>301</v>
      </c>
      <c r="L95">
        <v>1621</v>
      </c>
      <c r="M95">
        <v>94400</v>
      </c>
      <c r="N95" t="s">
        <v>3741</v>
      </c>
    </row>
    <row r="96" spans="1:14">
      <c r="A96">
        <v>406</v>
      </c>
      <c r="B96" s="1" t="s">
        <v>772</v>
      </c>
      <c r="C96" s="1" t="s">
        <v>773</v>
      </c>
      <c r="D96" s="1" t="s">
        <v>774</v>
      </c>
      <c r="E96" s="1" t="s">
        <v>775</v>
      </c>
      <c r="F96" s="1" t="s">
        <v>776</v>
      </c>
      <c r="G96" s="1"/>
      <c r="H96" s="1" t="s">
        <v>279</v>
      </c>
      <c r="I96" s="1"/>
      <c r="J96" s="1" t="s">
        <v>777</v>
      </c>
      <c r="K96" s="1" t="s">
        <v>103</v>
      </c>
      <c r="L96">
        <v>1337</v>
      </c>
      <c r="M96">
        <v>95000</v>
      </c>
      <c r="N96" t="s">
        <v>3741</v>
      </c>
    </row>
    <row r="97" spans="1:14">
      <c r="A97">
        <v>409</v>
      </c>
      <c r="B97" s="1" t="s">
        <v>778</v>
      </c>
      <c r="C97" s="1" t="s">
        <v>779</v>
      </c>
      <c r="D97" s="1" t="s">
        <v>780</v>
      </c>
      <c r="E97" s="1" t="s">
        <v>781</v>
      </c>
      <c r="F97" s="1" t="s">
        <v>782</v>
      </c>
      <c r="G97" s="1"/>
      <c r="H97" s="1" t="s">
        <v>783</v>
      </c>
      <c r="I97" s="1"/>
      <c r="J97" s="1" t="s">
        <v>784</v>
      </c>
      <c r="K97" s="1" t="s">
        <v>159</v>
      </c>
      <c r="M97">
        <v>0</v>
      </c>
      <c r="N97" t="s">
        <v>3741</v>
      </c>
    </row>
    <row r="98" spans="1:14">
      <c r="A98">
        <v>412</v>
      </c>
      <c r="B98" s="1" t="s">
        <v>785</v>
      </c>
      <c r="C98" s="1" t="s">
        <v>786</v>
      </c>
      <c r="D98" s="1" t="s">
        <v>787</v>
      </c>
      <c r="E98" s="1" t="s">
        <v>788</v>
      </c>
      <c r="F98" s="1" t="s">
        <v>789</v>
      </c>
      <c r="G98" s="1" t="s">
        <v>790</v>
      </c>
      <c r="H98" s="1" t="s">
        <v>791</v>
      </c>
      <c r="I98" s="1"/>
      <c r="J98" s="1"/>
      <c r="K98" s="1" t="s">
        <v>603</v>
      </c>
      <c r="L98">
        <v>1612</v>
      </c>
      <c r="M98">
        <v>86800</v>
      </c>
      <c r="N98" t="s">
        <v>3741</v>
      </c>
    </row>
    <row r="99" spans="1:14">
      <c r="A99">
        <v>415</v>
      </c>
      <c r="B99" s="1" t="s">
        <v>792</v>
      </c>
      <c r="C99" s="1" t="s">
        <v>793</v>
      </c>
      <c r="D99" s="1" t="s">
        <v>304</v>
      </c>
      <c r="E99" s="1" t="s">
        <v>794</v>
      </c>
      <c r="F99" s="1" t="s">
        <v>795</v>
      </c>
      <c r="G99" s="1"/>
      <c r="H99" s="1" t="s">
        <v>796</v>
      </c>
      <c r="I99" s="1"/>
      <c r="J99" s="1" t="s">
        <v>797</v>
      </c>
      <c r="K99" s="1" t="s">
        <v>159</v>
      </c>
      <c r="L99">
        <v>1504</v>
      </c>
      <c r="M99">
        <v>77000</v>
      </c>
      <c r="N99" t="s">
        <v>3741</v>
      </c>
    </row>
    <row r="100" spans="1:14">
      <c r="A100">
        <v>424</v>
      </c>
      <c r="B100" s="1" t="s">
        <v>798</v>
      </c>
      <c r="C100" s="1" t="s">
        <v>523</v>
      </c>
      <c r="D100" s="1" t="s">
        <v>799</v>
      </c>
      <c r="E100" s="1" t="s">
        <v>800</v>
      </c>
      <c r="F100" s="1" t="s">
        <v>801</v>
      </c>
      <c r="G100" s="1" t="s">
        <v>802</v>
      </c>
      <c r="H100" s="1" t="s">
        <v>172</v>
      </c>
      <c r="I100" s="1" t="s">
        <v>173</v>
      </c>
      <c r="J100" s="1" t="s">
        <v>174</v>
      </c>
      <c r="K100" s="1" t="s">
        <v>112</v>
      </c>
      <c r="L100">
        <v>1286</v>
      </c>
      <c r="M100">
        <v>67500</v>
      </c>
      <c r="N100" t="s">
        <v>3741</v>
      </c>
    </row>
    <row r="101" spans="1:14">
      <c r="A101">
        <v>443</v>
      </c>
      <c r="B101" s="1" t="s">
        <v>803</v>
      </c>
      <c r="C101" s="1" t="s">
        <v>804</v>
      </c>
      <c r="D101" s="1" t="s">
        <v>805</v>
      </c>
      <c r="E101" s="1" t="s">
        <v>806</v>
      </c>
      <c r="F101" s="1" t="s">
        <v>807</v>
      </c>
      <c r="G101" s="1"/>
      <c r="H101" s="1" t="s">
        <v>808</v>
      </c>
      <c r="I101" s="1"/>
      <c r="J101" s="1" t="s">
        <v>809</v>
      </c>
      <c r="K101" s="1" t="s">
        <v>159</v>
      </c>
      <c r="M101">
        <v>0</v>
      </c>
      <c r="N101" t="s">
        <v>3741</v>
      </c>
    </row>
    <row r="102" spans="1:14">
      <c r="A102">
        <v>447</v>
      </c>
      <c r="B102" s="1" t="s">
        <v>810</v>
      </c>
      <c r="C102" s="1" t="s">
        <v>811</v>
      </c>
      <c r="D102" s="1" t="s">
        <v>812</v>
      </c>
      <c r="E102" s="1" t="s">
        <v>813</v>
      </c>
      <c r="F102" s="1" t="s">
        <v>814</v>
      </c>
      <c r="G102" s="1"/>
      <c r="H102" s="1" t="s">
        <v>398</v>
      </c>
      <c r="I102" s="1" t="s">
        <v>257</v>
      </c>
      <c r="J102" s="1" t="s">
        <v>815</v>
      </c>
      <c r="K102" s="1" t="s">
        <v>112</v>
      </c>
      <c r="L102">
        <v>1323</v>
      </c>
      <c r="M102">
        <v>49700</v>
      </c>
      <c r="N102" t="s">
        <v>3741</v>
      </c>
    </row>
    <row r="103" spans="1:14">
      <c r="A103">
        <v>448</v>
      </c>
      <c r="B103" s="1" t="s">
        <v>816</v>
      </c>
      <c r="C103" s="1" t="s">
        <v>817</v>
      </c>
      <c r="D103" s="1" t="s">
        <v>818</v>
      </c>
      <c r="E103" s="1" t="s">
        <v>819</v>
      </c>
      <c r="F103" s="1" t="s">
        <v>820</v>
      </c>
      <c r="G103" s="1"/>
      <c r="H103" s="1" t="s">
        <v>821</v>
      </c>
      <c r="I103" s="1"/>
      <c r="J103" s="1" t="s">
        <v>822</v>
      </c>
      <c r="K103" s="1" t="s">
        <v>190</v>
      </c>
      <c r="L103">
        <v>1504</v>
      </c>
      <c r="M103">
        <v>116400</v>
      </c>
      <c r="N103" t="s">
        <v>3742</v>
      </c>
    </row>
    <row r="104" spans="1:14">
      <c r="A104">
        <v>450</v>
      </c>
      <c r="B104" s="1" t="s">
        <v>823</v>
      </c>
      <c r="C104" s="1" t="s">
        <v>303</v>
      </c>
      <c r="D104" s="1" t="s">
        <v>824</v>
      </c>
      <c r="E104" s="1" t="s">
        <v>825</v>
      </c>
      <c r="F104" s="1" t="s">
        <v>826</v>
      </c>
      <c r="G104" s="1"/>
      <c r="H104" s="1" t="s">
        <v>827</v>
      </c>
      <c r="I104" s="1" t="s">
        <v>142</v>
      </c>
      <c r="J104" s="1" t="s">
        <v>166</v>
      </c>
      <c r="K104" s="1" t="s">
        <v>112</v>
      </c>
      <c r="L104">
        <v>1165</v>
      </c>
      <c r="M104">
        <v>77600</v>
      </c>
      <c r="N104" t="s">
        <v>3741</v>
      </c>
    </row>
    <row r="105" spans="1:14">
      <c r="A105">
        <v>452</v>
      </c>
      <c r="B105" s="1" t="s">
        <v>828</v>
      </c>
      <c r="C105" s="1" t="s">
        <v>829</v>
      </c>
      <c r="D105" s="1" t="s">
        <v>830</v>
      </c>
      <c r="E105" s="1" t="s">
        <v>831</v>
      </c>
      <c r="F105" s="1" t="s">
        <v>832</v>
      </c>
      <c r="G105" s="1"/>
      <c r="H105" s="1" t="s">
        <v>833</v>
      </c>
      <c r="I105" s="1"/>
      <c r="J105" s="1" t="s">
        <v>834</v>
      </c>
      <c r="K105" s="1" t="s">
        <v>747</v>
      </c>
      <c r="L105">
        <v>1401</v>
      </c>
      <c r="M105">
        <v>45300</v>
      </c>
      <c r="N105" t="s">
        <v>3741</v>
      </c>
    </row>
    <row r="106" spans="1:14">
      <c r="A106">
        <v>455</v>
      </c>
      <c r="B106" s="1" t="s">
        <v>835</v>
      </c>
      <c r="C106" s="1" t="s">
        <v>161</v>
      </c>
      <c r="D106" s="1" t="s">
        <v>334</v>
      </c>
      <c r="E106" s="1" t="s">
        <v>836</v>
      </c>
      <c r="F106" s="1" t="s">
        <v>837</v>
      </c>
      <c r="G106" s="1"/>
      <c r="H106" s="1" t="s">
        <v>256</v>
      </c>
      <c r="I106" s="1" t="s">
        <v>257</v>
      </c>
      <c r="J106" s="1" t="s">
        <v>258</v>
      </c>
      <c r="K106" s="1" t="s">
        <v>112</v>
      </c>
      <c r="L106">
        <v>1286</v>
      </c>
      <c r="M106">
        <v>95400</v>
      </c>
      <c r="N106" t="s">
        <v>3741</v>
      </c>
    </row>
    <row r="107" spans="1:14">
      <c r="A107">
        <v>456</v>
      </c>
      <c r="B107" s="1" t="s">
        <v>838</v>
      </c>
      <c r="C107" s="1" t="s">
        <v>839</v>
      </c>
      <c r="D107" s="1" t="s">
        <v>840</v>
      </c>
      <c r="E107" s="1" t="s">
        <v>841</v>
      </c>
      <c r="F107" s="1" t="s">
        <v>842</v>
      </c>
      <c r="G107" s="1" t="s">
        <v>843</v>
      </c>
      <c r="H107" s="1" t="s">
        <v>172</v>
      </c>
      <c r="I107" s="1" t="s">
        <v>173</v>
      </c>
      <c r="J107" s="1" t="s">
        <v>174</v>
      </c>
      <c r="K107" s="1" t="s">
        <v>112</v>
      </c>
      <c r="L107">
        <v>1286</v>
      </c>
      <c r="M107">
        <v>39800</v>
      </c>
      <c r="N107" t="s">
        <v>3741</v>
      </c>
    </row>
    <row r="108" spans="1:14">
      <c r="A108">
        <v>458</v>
      </c>
      <c r="B108" s="1" t="s">
        <v>844</v>
      </c>
      <c r="C108" s="1" t="s">
        <v>845</v>
      </c>
      <c r="D108" s="1" t="s">
        <v>846</v>
      </c>
      <c r="E108" s="1" t="s">
        <v>847</v>
      </c>
      <c r="F108" s="1" t="s">
        <v>848</v>
      </c>
      <c r="G108" s="1"/>
      <c r="H108" s="1" t="s">
        <v>180</v>
      </c>
      <c r="I108" s="1"/>
      <c r="J108" s="1" t="s">
        <v>653</v>
      </c>
      <c r="K108" s="1" t="s">
        <v>182</v>
      </c>
      <c r="L108">
        <v>1702</v>
      </c>
      <c r="M108">
        <v>104600</v>
      </c>
      <c r="N108" t="s">
        <v>3742</v>
      </c>
    </row>
    <row r="109" spans="1:14">
      <c r="A109">
        <v>459</v>
      </c>
      <c r="B109" s="1" t="s">
        <v>849</v>
      </c>
      <c r="C109" s="1" t="s">
        <v>850</v>
      </c>
      <c r="D109" s="1" t="s">
        <v>851</v>
      </c>
      <c r="E109" s="1" t="s">
        <v>852</v>
      </c>
      <c r="F109" s="1" t="s">
        <v>853</v>
      </c>
      <c r="G109" s="1"/>
      <c r="H109" s="1" t="s">
        <v>854</v>
      </c>
      <c r="I109" s="1"/>
      <c r="J109" s="1" t="s">
        <v>855</v>
      </c>
      <c r="K109" s="1" t="s">
        <v>159</v>
      </c>
      <c r="M109">
        <v>0</v>
      </c>
      <c r="N109" t="s">
        <v>3741</v>
      </c>
    </row>
    <row r="110" spans="1:14">
      <c r="A110">
        <v>462</v>
      </c>
      <c r="B110" s="1" t="s">
        <v>856</v>
      </c>
      <c r="C110" s="1" t="s">
        <v>857</v>
      </c>
      <c r="D110" s="1" t="s">
        <v>858</v>
      </c>
      <c r="E110" s="1" t="s">
        <v>859</v>
      </c>
      <c r="F110" s="1" t="s">
        <v>860</v>
      </c>
      <c r="G110" s="1"/>
      <c r="H110" s="1" t="s">
        <v>591</v>
      </c>
      <c r="I110" s="1" t="s">
        <v>287</v>
      </c>
      <c r="J110" s="1" t="s">
        <v>592</v>
      </c>
      <c r="K110" s="1" t="s">
        <v>112</v>
      </c>
      <c r="L110">
        <v>1216</v>
      </c>
      <c r="M110">
        <v>85800</v>
      </c>
      <c r="N110" t="s">
        <v>3741</v>
      </c>
    </row>
    <row r="111" spans="1:14">
      <c r="A111">
        <v>465</v>
      </c>
      <c r="B111" s="1" t="s">
        <v>861</v>
      </c>
      <c r="C111" s="1" t="s">
        <v>862</v>
      </c>
      <c r="D111" s="1" t="s">
        <v>863</v>
      </c>
      <c r="E111" s="1" t="s">
        <v>864</v>
      </c>
      <c r="F111" s="1" t="s">
        <v>865</v>
      </c>
      <c r="G111" s="1"/>
      <c r="H111" s="1" t="s">
        <v>180</v>
      </c>
      <c r="I111" s="1"/>
      <c r="J111" s="1" t="s">
        <v>653</v>
      </c>
      <c r="K111" s="1" t="s">
        <v>182</v>
      </c>
      <c r="M111">
        <v>0</v>
      </c>
      <c r="N111" t="s">
        <v>3741</v>
      </c>
    </row>
    <row r="112" spans="1:14">
      <c r="A112">
        <v>471</v>
      </c>
      <c r="B112" s="1" t="s">
        <v>866</v>
      </c>
      <c r="C112" s="1" t="s">
        <v>867</v>
      </c>
      <c r="D112" s="1" t="s">
        <v>868</v>
      </c>
      <c r="E112" s="1" t="s">
        <v>869</v>
      </c>
      <c r="F112" s="1" t="s">
        <v>870</v>
      </c>
      <c r="G112" s="1"/>
      <c r="H112" s="1" t="s">
        <v>871</v>
      </c>
      <c r="I112" s="1" t="s">
        <v>120</v>
      </c>
      <c r="J112" s="1" t="s">
        <v>872</v>
      </c>
      <c r="K112" s="1" t="s">
        <v>122</v>
      </c>
      <c r="L112">
        <v>1611</v>
      </c>
      <c r="M112">
        <v>60300</v>
      </c>
      <c r="N112" t="s">
        <v>3741</v>
      </c>
    </row>
    <row r="113" spans="1:14">
      <c r="A113">
        <v>473</v>
      </c>
      <c r="B113" s="1" t="s">
        <v>873</v>
      </c>
      <c r="C113" s="1" t="s">
        <v>874</v>
      </c>
      <c r="D113" s="1" t="s">
        <v>251</v>
      </c>
      <c r="E113" s="1" t="s">
        <v>875</v>
      </c>
      <c r="F113" s="1" t="s">
        <v>876</v>
      </c>
      <c r="G113" s="1" t="s">
        <v>877</v>
      </c>
      <c r="H113" s="1" t="s">
        <v>878</v>
      </c>
      <c r="I113" s="1"/>
      <c r="J113" s="1"/>
      <c r="K113" s="1" t="s">
        <v>463</v>
      </c>
      <c r="L113">
        <v>1401</v>
      </c>
      <c r="M113">
        <v>34800</v>
      </c>
      <c r="N113" t="s">
        <v>3741</v>
      </c>
    </row>
    <row r="114" spans="1:14">
      <c r="A114">
        <v>475</v>
      </c>
      <c r="B114" s="1" t="s">
        <v>879</v>
      </c>
      <c r="C114" s="1" t="s">
        <v>429</v>
      </c>
      <c r="D114" s="1" t="s">
        <v>581</v>
      </c>
      <c r="E114" s="1" t="s">
        <v>880</v>
      </c>
      <c r="F114" s="1" t="s">
        <v>881</v>
      </c>
      <c r="G114" s="1"/>
      <c r="H114" s="1" t="s">
        <v>882</v>
      </c>
      <c r="I114" s="1" t="s">
        <v>142</v>
      </c>
      <c r="J114" s="1" t="s">
        <v>616</v>
      </c>
      <c r="K114" s="1" t="s">
        <v>112</v>
      </c>
      <c r="L114">
        <v>1166</v>
      </c>
      <c r="M114">
        <v>55400</v>
      </c>
      <c r="N114" t="s">
        <v>3741</v>
      </c>
    </row>
    <row r="115" spans="1:14">
      <c r="A115">
        <v>477</v>
      </c>
      <c r="B115" s="1" t="s">
        <v>883</v>
      </c>
      <c r="C115" s="1" t="s">
        <v>884</v>
      </c>
      <c r="D115" s="1" t="s">
        <v>885</v>
      </c>
      <c r="E115" s="1" t="s">
        <v>886</v>
      </c>
      <c r="F115" s="1" t="s">
        <v>887</v>
      </c>
      <c r="G115" s="1"/>
      <c r="H115" s="1" t="s">
        <v>888</v>
      </c>
      <c r="I115" s="1"/>
      <c r="J115" s="1" t="s">
        <v>889</v>
      </c>
      <c r="K115" s="1" t="s">
        <v>159</v>
      </c>
      <c r="M115">
        <v>0</v>
      </c>
      <c r="N115" t="s">
        <v>3741</v>
      </c>
    </row>
    <row r="116" spans="1:14">
      <c r="A116">
        <v>480</v>
      </c>
      <c r="B116" s="1" t="s">
        <v>890</v>
      </c>
      <c r="C116" s="1" t="s">
        <v>891</v>
      </c>
      <c r="D116" s="1" t="s">
        <v>805</v>
      </c>
      <c r="E116" s="1" t="s">
        <v>892</v>
      </c>
      <c r="F116" s="1" t="s">
        <v>893</v>
      </c>
      <c r="G116" s="1"/>
      <c r="H116" s="1" t="s">
        <v>894</v>
      </c>
      <c r="I116" s="1"/>
      <c r="J116" s="1" t="s">
        <v>895</v>
      </c>
      <c r="K116" s="1" t="s">
        <v>896</v>
      </c>
      <c r="M116">
        <v>0</v>
      </c>
      <c r="N116" t="s">
        <v>3741</v>
      </c>
    </row>
    <row r="117" spans="1:14">
      <c r="A117">
        <v>481</v>
      </c>
      <c r="B117" s="1" t="s">
        <v>897</v>
      </c>
      <c r="C117" s="1" t="s">
        <v>898</v>
      </c>
      <c r="D117" s="1" t="s">
        <v>899</v>
      </c>
      <c r="E117" s="1" t="s">
        <v>900</v>
      </c>
      <c r="F117" s="1" t="s">
        <v>901</v>
      </c>
      <c r="G117" s="1"/>
      <c r="H117" s="1" t="s">
        <v>902</v>
      </c>
      <c r="I117" s="1"/>
      <c r="J117" s="1" t="s">
        <v>903</v>
      </c>
      <c r="K117" s="1" t="s">
        <v>904</v>
      </c>
      <c r="M117">
        <v>0</v>
      </c>
      <c r="N117" t="s">
        <v>3741</v>
      </c>
    </row>
    <row r="118" spans="1:14">
      <c r="A118">
        <v>484</v>
      </c>
      <c r="B118" s="1" t="s">
        <v>905</v>
      </c>
      <c r="C118" s="1" t="s">
        <v>906</v>
      </c>
      <c r="D118" s="1" t="s">
        <v>907</v>
      </c>
      <c r="E118" s="1" t="s">
        <v>908</v>
      </c>
      <c r="F118" s="1" t="s">
        <v>909</v>
      </c>
      <c r="G118" s="1"/>
      <c r="H118" s="1" t="s">
        <v>910</v>
      </c>
      <c r="I118" s="1"/>
      <c r="J118" s="1" t="s">
        <v>911</v>
      </c>
      <c r="K118" s="1" t="s">
        <v>182</v>
      </c>
      <c r="L118">
        <v>1702</v>
      </c>
      <c r="M118">
        <v>65700</v>
      </c>
      <c r="N118" t="s">
        <v>3741</v>
      </c>
    </row>
    <row r="119" spans="1:14">
      <c r="A119">
        <v>486</v>
      </c>
      <c r="B119" s="1" t="s">
        <v>912</v>
      </c>
      <c r="C119" s="1" t="s">
        <v>913</v>
      </c>
      <c r="D119" s="1" t="s">
        <v>914</v>
      </c>
      <c r="E119" s="1" t="s">
        <v>915</v>
      </c>
      <c r="F119" s="1" t="s">
        <v>916</v>
      </c>
      <c r="G119" s="1"/>
      <c r="H119" s="1" t="s">
        <v>645</v>
      </c>
      <c r="I119" s="1" t="s">
        <v>226</v>
      </c>
      <c r="J119" s="1" t="s">
        <v>646</v>
      </c>
      <c r="K119" s="1" t="s">
        <v>112</v>
      </c>
      <c r="L119">
        <v>1323</v>
      </c>
      <c r="M119">
        <v>72600</v>
      </c>
      <c r="N119" t="s">
        <v>3741</v>
      </c>
    </row>
    <row r="120" spans="1:14">
      <c r="A120">
        <v>487</v>
      </c>
      <c r="B120" s="1" t="s">
        <v>917</v>
      </c>
      <c r="C120" s="1" t="s">
        <v>333</v>
      </c>
      <c r="D120" s="1" t="s">
        <v>824</v>
      </c>
      <c r="E120" s="1" t="s">
        <v>918</v>
      </c>
      <c r="F120" s="1" t="s">
        <v>919</v>
      </c>
      <c r="G120" s="1"/>
      <c r="H120" s="1" t="s">
        <v>920</v>
      </c>
      <c r="I120" s="1" t="s">
        <v>142</v>
      </c>
      <c r="J120" s="1" t="s">
        <v>166</v>
      </c>
      <c r="K120" s="1" t="s">
        <v>112</v>
      </c>
      <c r="L120">
        <v>1165</v>
      </c>
      <c r="M120">
        <v>60300</v>
      </c>
      <c r="N120" t="s">
        <v>3741</v>
      </c>
    </row>
    <row r="121" spans="1:14">
      <c r="A121">
        <v>489</v>
      </c>
      <c r="B121" s="1" t="s">
        <v>921</v>
      </c>
      <c r="C121" s="1" t="s">
        <v>922</v>
      </c>
      <c r="D121" s="1" t="s">
        <v>923</v>
      </c>
      <c r="E121" s="1" t="s">
        <v>924</v>
      </c>
      <c r="F121" s="1" t="s">
        <v>925</v>
      </c>
      <c r="G121" s="1"/>
      <c r="H121" s="1" t="s">
        <v>608</v>
      </c>
      <c r="I121" s="1"/>
      <c r="J121" s="1" t="s">
        <v>926</v>
      </c>
      <c r="K121" s="1" t="s">
        <v>322</v>
      </c>
      <c r="L121">
        <v>1501</v>
      </c>
      <c r="M121">
        <v>43300</v>
      </c>
      <c r="N121" t="s">
        <v>3741</v>
      </c>
    </row>
    <row r="122" spans="1:14">
      <c r="A122">
        <v>495</v>
      </c>
      <c r="B122" s="1" t="s">
        <v>927</v>
      </c>
      <c r="C122" s="1" t="s">
        <v>251</v>
      </c>
      <c r="D122" s="1" t="s">
        <v>430</v>
      </c>
      <c r="E122" s="1" t="s">
        <v>928</v>
      </c>
      <c r="F122" s="1" t="s">
        <v>929</v>
      </c>
      <c r="G122" s="1"/>
      <c r="H122" s="1" t="s">
        <v>708</v>
      </c>
      <c r="I122" s="1" t="s">
        <v>287</v>
      </c>
      <c r="J122" s="1" t="s">
        <v>709</v>
      </c>
      <c r="K122" s="1" t="s">
        <v>112</v>
      </c>
      <c r="L122">
        <v>1188</v>
      </c>
      <c r="M122">
        <v>85100</v>
      </c>
      <c r="N122" t="s">
        <v>3741</v>
      </c>
    </row>
    <row r="123" spans="1:14">
      <c r="A123">
        <v>496</v>
      </c>
      <c r="B123" s="1" t="s">
        <v>930</v>
      </c>
      <c r="C123" s="1" t="s">
        <v>931</v>
      </c>
      <c r="D123" s="1" t="s">
        <v>932</v>
      </c>
      <c r="E123" s="1" t="s">
        <v>933</v>
      </c>
      <c r="F123" s="1" t="s">
        <v>934</v>
      </c>
      <c r="G123" s="1"/>
      <c r="H123" s="1" t="s">
        <v>602</v>
      </c>
      <c r="I123" s="1"/>
      <c r="J123" s="1"/>
      <c r="K123" s="1" t="s">
        <v>603</v>
      </c>
      <c r="L123">
        <v>1612</v>
      </c>
      <c r="M123">
        <v>110000</v>
      </c>
      <c r="N123" t="s">
        <v>3742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653E-F7A2-4DCA-A7CF-9081EB9A55A4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E1765-41B6-40E9-8EE3-B645AFC981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Sheet5</vt:lpstr>
      <vt:lpstr>Sheet2</vt:lpstr>
      <vt:lpstr>Sheet3</vt:lpstr>
      <vt:lpstr>customers</vt:lpstr>
      <vt:lpstr>employees</vt:lpstr>
      <vt:lpstr>Sheet4</vt:lpstr>
      <vt:lpstr>Sheet6</vt:lpstr>
      <vt:lpstr>Sheet7</vt:lpstr>
      <vt:lpstr>Sheet8</vt:lpstr>
      <vt:lpstr>Sheet9</vt:lpstr>
      <vt:lpstr>Employee Sample Data 1</vt:lpstr>
      <vt:lpstr>customers (2)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Arsul Jawed</dc:creator>
  <cp:lastModifiedBy>Arsul Jawed</cp:lastModifiedBy>
  <dcterms:created xsi:type="dcterms:W3CDTF">2026-02-15T12:49:00Z</dcterms:created>
  <dcterms:modified xsi:type="dcterms:W3CDTF">2026-03-16T15:06:02Z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758EDA35FE1245E2901A81066886AFC1_12</vt:lpwstr>
  </property>
  <property fmtid="{D5CDD505-2E9C-101B-9397-08002B2CF9AE}" pid="3" name="KSOProductBuildVer">
    <vt:lpwstr>1033-12.2.0.23196</vt:lpwstr>
  </property>
</Properties>
</file>